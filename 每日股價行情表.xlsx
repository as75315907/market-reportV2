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75315907\Downloads\"/>
    </mc:Choice>
  </mc:AlternateContent>
  <xr:revisionPtr revIDLastSave="0" documentId="13_ncr:1_{453FD4B8-926B-43AB-A93E-C4C0043085A1}" xr6:coauthVersionLast="47" xr6:coauthVersionMax="47" xr10:uidLastSave="{00000000-0000-0000-0000-000000000000}"/>
  <bookViews>
    <workbookView xWindow="-120" yWindow="-120" windowWidth="38640" windowHeight="21240" tabRatio="885" xr2:uid="{00000000-000D-0000-FFFF-FFFF00000000}"/>
  </bookViews>
  <sheets>
    <sheet name="IR_updated (PC HOME)" sheetId="80" r:id="rId1"/>
    <sheet name="主力進出" sheetId="78" r:id="rId2"/>
    <sheet name="營收" sheetId="81" r:id="rId3"/>
    <sheet name="0303" sheetId="275" r:id="rId4"/>
    <sheet name="0304" sheetId="276" r:id="rId5"/>
    <sheet name="0305" sheetId="277" r:id="rId6"/>
    <sheet name="0306" sheetId="278" r:id="rId7"/>
    <sheet name="0307" sheetId="279" r:id="rId8"/>
    <sheet name="0310" sheetId="280" r:id="rId9"/>
    <sheet name="0311" sheetId="281" r:id="rId10"/>
    <sheet name="0312" sheetId="282" r:id="rId11"/>
    <sheet name="0313" sheetId="283" r:id="rId12"/>
    <sheet name="0314" sheetId="284" r:id="rId13"/>
    <sheet name="0317" sheetId="285" r:id="rId14"/>
    <sheet name="0318" sheetId="286" r:id="rId15"/>
    <sheet name="0319" sheetId="287" r:id="rId16"/>
    <sheet name="0320" sheetId="288" r:id="rId17"/>
  </sheets>
  <definedNames>
    <definedName name="_xlnm.Print_Area" localSheetId="3">'0303'!$B$2:$L$39</definedName>
    <definedName name="_xlnm.Print_Area" localSheetId="4">'0304'!$B$2:$L$39</definedName>
    <definedName name="_xlnm.Print_Area" localSheetId="5">'0305'!$B$2:$L$39</definedName>
    <definedName name="_xlnm.Print_Area" localSheetId="6">'0306'!$B$2:$L$39</definedName>
    <definedName name="_xlnm.Print_Area" localSheetId="7">'0307'!$B$2:$L$39</definedName>
    <definedName name="_xlnm.Print_Area" localSheetId="8">'0310'!$B$2:$L$39</definedName>
    <definedName name="_xlnm.Print_Area" localSheetId="9">'0311'!$B$2:$L$39</definedName>
    <definedName name="_xlnm.Print_Area" localSheetId="10">'0312'!$B$2:$L$39</definedName>
    <definedName name="_xlnm.Print_Area" localSheetId="11">'0313'!$B$2:$L$39</definedName>
    <definedName name="_xlnm.Print_Area" localSheetId="12">'0314'!$B$2:$L$39</definedName>
    <definedName name="_xlnm.Print_Area" localSheetId="13">'0317'!$B$2:$L$39</definedName>
    <definedName name="_xlnm.Print_Area" localSheetId="14">'0318'!$B$2:$L$39</definedName>
    <definedName name="_xlnm.Print_Area" localSheetId="15">'0319'!$B$2:$L$39</definedName>
    <definedName name="_xlnm.Print_Area" localSheetId="16">'0320'!$B$2:$L$39</definedName>
    <definedName name="_xlnm.Print_Area" localSheetId="0">'IR_updated (PC HOME)'!$A$2:$L$39</definedName>
    <definedName name="_xlnm.Print_Area" localSheetId="2">營收!$B$1:$G$25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80" l="1"/>
  <c r="H6" i="80"/>
  <c r="I6" i="80"/>
  <c r="H95" i="288" l="1"/>
  <c r="G95" i="288"/>
  <c r="H94" i="288"/>
  <c r="G94" i="288"/>
  <c r="K39" i="288"/>
  <c r="J39" i="288"/>
  <c r="I39" i="288"/>
  <c r="H39" i="288"/>
  <c r="E39" i="288"/>
  <c r="D39" i="288"/>
  <c r="L39" i="288" s="1"/>
  <c r="K38" i="288"/>
  <c r="J38" i="288"/>
  <c r="I38" i="288"/>
  <c r="H38" i="288"/>
  <c r="E38" i="288"/>
  <c r="D38" i="288"/>
  <c r="L38" i="288" s="1"/>
  <c r="L35" i="288"/>
  <c r="K35" i="288"/>
  <c r="J35" i="288"/>
  <c r="I35" i="288"/>
  <c r="H35" i="288"/>
  <c r="E35" i="288"/>
  <c r="D35" i="288"/>
  <c r="F35" i="288" s="1"/>
  <c r="G35" i="288" s="1"/>
  <c r="K34" i="288"/>
  <c r="J34" i="288"/>
  <c r="I34" i="288"/>
  <c r="H34" i="288"/>
  <c r="E34" i="288"/>
  <c r="D34" i="288"/>
  <c r="L33" i="288"/>
  <c r="K33" i="288"/>
  <c r="J33" i="288"/>
  <c r="I33" i="288"/>
  <c r="H33" i="288"/>
  <c r="E33" i="288"/>
  <c r="F33" i="288" s="1"/>
  <c r="G33" i="288" s="1"/>
  <c r="D33" i="288"/>
  <c r="K32" i="288"/>
  <c r="J32" i="288"/>
  <c r="I32" i="288"/>
  <c r="H32" i="288"/>
  <c r="E32" i="288"/>
  <c r="D32" i="288"/>
  <c r="L32" i="288" s="1"/>
  <c r="L31" i="288"/>
  <c r="K31" i="288"/>
  <c r="J31" i="288"/>
  <c r="I31" i="288"/>
  <c r="H31" i="288"/>
  <c r="E31" i="288"/>
  <c r="D31" i="288"/>
  <c r="F31" i="288" s="1"/>
  <c r="G31" i="288" s="1"/>
  <c r="L30" i="288"/>
  <c r="K30" i="288"/>
  <c r="J30" i="288"/>
  <c r="I30" i="288"/>
  <c r="H30" i="288"/>
  <c r="E30" i="288"/>
  <c r="D30" i="288"/>
  <c r="F30" i="288" s="1"/>
  <c r="G30" i="288" s="1"/>
  <c r="K29" i="288"/>
  <c r="J29" i="288"/>
  <c r="I29" i="288"/>
  <c r="H29" i="288"/>
  <c r="E29" i="288"/>
  <c r="F29" i="288" s="1"/>
  <c r="G29" i="288" s="1"/>
  <c r="D29" i="288"/>
  <c r="L29" i="288" s="1"/>
  <c r="K28" i="288"/>
  <c r="J28" i="288"/>
  <c r="I28" i="288"/>
  <c r="H28" i="288"/>
  <c r="E28" i="288"/>
  <c r="D28" i="288"/>
  <c r="L28" i="288" s="1"/>
  <c r="K27" i="288"/>
  <c r="J27" i="288"/>
  <c r="I27" i="288"/>
  <c r="H27" i="288"/>
  <c r="E27" i="288"/>
  <c r="D27" i="288"/>
  <c r="F27" i="288" s="1"/>
  <c r="G27" i="288" s="1"/>
  <c r="K26" i="288"/>
  <c r="J26" i="288"/>
  <c r="I26" i="288"/>
  <c r="H26" i="288"/>
  <c r="E26" i="288"/>
  <c r="D26" i="288"/>
  <c r="L26" i="288" s="1"/>
  <c r="K25" i="288"/>
  <c r="J25" i="288"/>
  <c r="I25" i="288"/>
  <c r="H25" i="288"/>
  <c r="E25" i="288"/>
  <c r="F25" i="288" s="1"/>
  <c r="G25" i="288" s="1"/>
  <c r="D25" i="288"/>
  <c r="L25" i="288" s="1"/>
  <c r="K24" i="288"/>
  <c r="J24" i="288"/>
  <c r="I24" i="288"/>
  <c r="H24" i="288"/>
  <c r="E24" i="288"/>
  <c r="D24" i="288"/>
  <c r="L24" i="288" s="1"/>
  <c r="K23" i="288"/>
  <c r="J23" i="288"/>
  <c r="I23" i="288"/>
  <c r="H23" i="288"/>
  <c r="E23" i="288"/>
  <c r="D23" i="288"/>
  <c r="K22" i="288"/>
  <c r="J22" i="288"/>
  <c r="I22" i="288"/>
  <c r="H22" i="288"/>
  <c r="E22" i="288"/>
  <c r="D22" i="288"/>
  <c r="F22" i="288" s="1"/>
  <c r="G22" i="288" s="1"/>
  <c r="L21" i="288"/>
  <c r="K21" i="288"/>
  <c r="J21" i="288"/>
  <c r="I21" i="288"/>
  <c r="H21" i="288"/>
  <c r="E21" i="288"/>
  <c r="F21" i="288" s="1"/>
  <c r="G21" i="288" s="1"/>
  <c r="D21" i="288"/>
  <c r="K20" i="288"/>
  <c r="J20" i="288"/>
  <c r="I20" i="288"/>
  <c r="H20" i="288"/>
  <c r="E20" i="288"/>
  <c r="D20" i="288"/>
  <c r="L20" i="288" s="1"/>
  <c r="L19" i="288"/>
  <c r="K19" i="288"/>
  <c r="J19" i="288"/>
  <c r="I19" i="288"/>
  <c r="H19" i="288"/>
  <c r="E19" i="288"/>
  <c r="D19" i="288"/>
  <c r="F19" i="288" s="1"/>
  <c r="G19" i="288" s="1"/>
  <c r="K18" i="288"/>
  <c r="J18" i="288"/>
  <c r="I18" i="288"/>
  <c r="H18" i="288"/>
  <c r="E18" i="288"/>
  <c r="D18" i="288"/>
  <c r="K17" i="288"/>
  <c r="J17" i="288"/>
  <c r="I17" i="288"/>
  <c r="H17" i="288"/>
  <c r="E17" i="288"/>
  <c r="F17" i="288" s="1"/>
  <c r="G17" i="288" s="1"/>
  <c r="D17" i="288"/>
  <c r="L17" i="288" s="1"/>
  <c r="K16" i="288"/>
  <c r="J16" i="288"/>
  <c r="I16" i="288"/>
  <c r="H16" i="288"/>
  <c r="E16" i="288"/>
  <c r="D16" i="288"/>
  <c r="L16" i="288" s="1"/>
  <c r="L15" i="288"/>
  <c r="K15" i="288"/>
  <c r="J15" i="288"/>
  <c r="I15" i="288"/>
  <c r="H15" i="288"/>
  <c r="E15" i="288"/>
  <c r="D15" i="288"/>
  <c r="L14" i="288"/>
  <c r="K14" i="288"/>
  <c r="J14" i="288"/>
  <c r="I14" i="288"/>
  <c r="H14" i="288"/>
  <c r="E14" i="288"/>
  <c r="D14" i="288"/>
  <c r="F14" i="288" s="1"/>
  <c r="G14" i="288" s="1"/>
  <c r="K13" i="288"/>
  <c r="J13" i="288"/>
  <c r="I13" i="288"/>
  <c r="H13" i="288"/>
  <c r="E13" i="288"/>
  <c r="D13" i="288"/>
  <c r="L13" i="288" s="1"/>
  <c r="E11" i="288"/>
  <c r="J8" i="288"/>
  <c r="F8" i="288"/>
  <c r="H6" i="288"/>
  <c r="J6" i="288" s="1"/>
  <c r="F6" i="288"/>
  <c r="D11" i="288"/>
  <c r="L22" i="288" l="1"/>
  <c r="F39" i="288"/>
  <c r="G39" i="288" s="1"/>
  <c r="F23" i="288"/>
  <c r="G23" i="288" s="1"/>
  <c r="L27" i="288"/>
  <c r="F18" i="288"/>
  <c r="G18" i="288" s="1"/>
  <c r="F34" i="288"/>
  <c r="G34" i="288" s="1"/>
  <c r="F15" i="288"/>
  <c r="G15" i="288" s="1"/>
  <c r="L23" i="288"/>
  <c r="F13" i="288"/>
  <c r="G13" i="288" s="1"/>
  <c r="L18" i="288"/>
  <c r="F26" i="288"/>
  <c r="G26" i="288" s="1"/>
  <c r="L34" i="288"/>
  <c r="F32" i="288"/>
  <c r="G32" i="288" s="1"/>
  <c r="F38" i="288"/>
  <c r="G38" i="288" s="1"/>
  <c r="F16" i="288"/>
  <c r="G16" i="288" s="1"/>
  <c r="F20" i="288"/>
  <c r="G20" i="288" s="1"/>
  <c r="F24" i="288"/>
  <c r="G24" i="288" s="1"/>
  <c r="F28" i="288"/>
  <c r="G28" i="288" s="1"/>
  <c r="H95" i="287"/>
  <c r="G95" i="287"/>
  <c r="H94" i="287"/>
  <c r="G94" i="287"/>
  <c r="L39" i="287"/>
  <c r="K39" i="287"/>
  <c r="J39" i="287"/>
  <c r="I39" i="287"/>
  <c r="H39" i="287"/>
  <c r="E39" i="287"/>
  <c r="D39" i="287"/>
  <c r="K38" i="287"/>
  <c r="J38" i="287"/>
  <c r="I38" i="287"/>
  <c r="H38" i="287"/>
  <c r="E38" i="287"/>
  <c r="D38" i="287"/>
  <c r="L38" i="287" s="1"/>
  <c r="L35" i="287"/>
  <c r="K35" i="287"/>
  <c r="J35" i="287"/>
  <c r="I35" i="287"/>
  <c r="H35" i="287"/>
  <c r="E35" i="287"/>
  <c r="D35" i="287"/>
  <c r="L34" i="287"/>
  <c r="K34" i="287"/>
  <c r="J34" i="287"/>
  <c r="I34" i="287"/>
  <c r="H34" i="287"/>
  <c r="E34" i="287"/>
  <c r="D34" i="287"/>
  <c r="K33" i="287"/>
  <c r="J33" i="287"/>
  <c r="I33" i="287"/>
  <c r="H33" i="287"/>
  <c r="E33" i="287"/>
  <c r="D33" i="287"/>
  <c r="L33" i="287" s="1"/>
  <c r="K32" i="287"/>
  <c r="J32" i="287"/>
  <c r="I32" i="287"/>
  <c r="H32" i="287"/>
  <c r="E32" i="287"/>
  <c r="D32" i="287"/>
  <c r="L32" i="287" s="1"/>
  <c r="K31" i="287"/>
  <c r="J31" i="287"/>
  <c r="I31" i="287"/>
  <c r="H31" i="287"/>
  <c r="E31" i="287"/>
  <c r="D31" i="287"/>
  <c r="F31" i="287" s="1"/>
  <c r="G31" i="287" s="1"/>
  <c r="L30" i="287"/>
  <c r="K30" i="287"/>
  <c r="J30" i="287"/>
  <c r="I30" i="287"/>
  <c r="H30" i="287"/>
  <c r="E30" i="287"/>
  <c r="D30" i="287"/>
  <c r="F30" i="287" s="1"/>
  <c r="G30" i="287" s="1"/>
  <c r="K29" i="287"/>
  <c r="J29" i="287"/>
  <c r="I29" i="287"/>
  <c r="H29" i="287"/>
  <c r="E29" i="287"/>
  <c r="F29" i="287" s="1"/>
  <c r="G29" i="287" s="1"/>
  <c r="D29" i="287"/>
  <c r="L29" i="287" s="1"/>
  <c r="K28" i="287"/>
  <c r="J28" i="287"/>
  <c r="I28" i="287"/>
  <c r="H28" i="287"/>
  <c r="E28" i="287"/>
  <c r="D28" i="287"/>
  <c r="L28" i="287" s="1"/>
  <c r="K27" i="287"/>
  <c r="J27" i="287"/>
  <c r="I27" i="287"/>
  <c r="H27" i="287"/>
  <c r="E27" i="287"/>
  <c r="D27" i="287"/>
  <c r="F27" i="287" s="1"/>
  <c r="G27" i="287" s="1"/>
  <c r="K26" i="287"/>
  <c r="J26" i="287"/>
  <c r="I26" i="287"/>
  <c r="H26" i="287"/>
  <c r="E26" i="287"/>
  <c r="D26" i="287"/>
  <c r="F26" i="287" s="1"/>
  <c r="G26" i="287" s="1"/>
  <c r="L25" i="287"/>
  <c r="K25" i="287"/>
  <c r="J25" i="287"/>
  <c r="I25" i="287"/>
  <c r="H25" i="287"/>
  <c r="E25" i="287"/>
  <c r="D25" i="287"/>
  <c r="K24" i="287"/>
  <c r="J24" i="287"/>
  <c r="I24" i="287"/>
  <c r="H24" i="287"/>
  <c r="E24" i="287"/>
  <c r="D24" i="287"/>
  <c r="L24" i="287" s="1"/>
  <c r="L23" i="287"/>
  <c r="K23" i="287"/>
  <c r="J23" i="287"/>
  <c r="I23" i="287"/>
  <c r="H23" i="287"/>
  <c r="E23" i="287"/>
  <c r="D23" i="287"/>
  <c r="F23" i="287" s="1"/>
  <c r="G23" i="287" s="1"/>
  <c r="K22" i="287"/>
  <c r="J22" i="287"/>
  <c r="I22" i="287"/>
  <c r="H22" i="287"/>
  <c r="E22" i="287"/>
  <c r="D22" i="287"/>
  <c r="F22" i="287" s="1"/>
  <c r="G22" i="287" s="1"/>
  <c r="L21" i="287"/>
  <c r="K21" i="287"/>
  <c r="J21" i="287"/>
  <c r="I21" i="287"/>
  <c r="H21" i="287"/>
  <c r="E21" i="287"/>
  <c r="D21" i="287"/>
  <c r="K20" i="287"/>
  <c r="J20" i="287"/>
  <c r="I20" i="287"/>
  <c r="H20" i="287"/>
  <c r="E20" i="287"/>
  <c r="D20" i="287"/>
  <c r="L20" i="287" s="1"/>
  <c r="L19" i="287"/>
  <c r="K19" i="287"/>
  <c r="J19" i="287"/>
  <c r="I19" i="287"/>
  <c r="H19" i="287"/>
  <c r="E19" i="287"/>
  <c r="D19" i="287"/>
  <c r="L18" i="287"/>
  <c r="K18" i="287"/>
  <c r="J18" i="287"/>
  <c r="I18" i="287"/>
  <c r="H18" i="287"/>
  <c r="E18" i="287"/>
  <c r="D18" i="287"/>
  <c r="K17" i="287"/>
  <c r="J17" i="287"/>
  <c r="I17" i="287"/>
  <c r="H17" i="287"/>
  <c r="E17" i="287"/>
  <c r="D17" i="287"/>
  <c r="L17" i="287" s="1"/>
  <c r="K16" i="287"/>
  <c r="J16" i="287"/>
  <c r="I16" i="287"/>
  <c r="H16" i="287"/>
  <c r="E16" i="287"/>
  <c r="D16" i="287"/>
  <c r="L16" i="287" s="1"/>
  <c r="K15" i="287"/>
  <c r="J15" i="287"/>
  <c r="I15" i="287"/>
  <c r="H15" i="287"/>
  <c r="E15" i="287"/>
  <c r="D15" i="287"/>
  <c r="F15" i="287" s="1"/>
  <c r="G15" i="287" s="1"/>
  <c r="L14" i="287"/>
  <c r="K14" i="287"/>
  <c r="J14" i="287"/>
  <c r="I14" i="287"/>
  <c r="H14" i="287"/>
  <c r="E14" i="287"/>
  <c r="D14" i="287"/>
  <c r="F14" i="287" s="1"/>
  <c r="G14" i="287" s="1"/>
  <c r="K13" i="287"/>
  <c r="J13" i="287"/>
  <c r="I13" i="287"/>
  <c r="H13" i="287"/>
  <c r="E13" i="287"/>
  <c r="F13" i="287" s="1"/>
  <c r="G13" i="287" s="1"/>
  <c r="D13" i="287"/>
  <c r="L13" i="287" s="1"/>
  <c r="E11" i="287"/>
  <c r="J8" i="287"/>
  <c r="F8" i="287"/>
  <c r="H6" i="287"/>
  <c r="J6" i="287" s="1"/>
  <c r="F6" i="287"/>
  <c r="D11" i="287"/>
  <c r="F33" i="287" l="1"/>
  <c r="G33" i="287" s="1"/>
  <c r="F19" i="287"/>
  <c r="G19" i="287" s="1"/>
  <c r="L27" i="287"/>
  <c r="F35" i="287"/>
  <c r="G35" i="287" s="1"/>
  <c r="F17" i="287"/>
  <c r="G17" i="287" s="1"/>
  <c r="F21" i="287"/>
  <c r="G21" i="287" s="1"/>
  <c r="L22" i="287"/>
  <c r="F39" i="287"/>
  <c r="G39" i="287" s="1"/>
  <c r="L15" i="287"/>
  <c r="L31" i="287"/>
  <c r="F18" i="287"/>
  <c r="G18" i="287" s="1"/>
  <c r="F25" i="287"/>
  <c r="G25" i="287" s="1"/>
  <c r="L26" i="287"/>
  <c r="F34" i="287"/>
  <c r="G34" i="287" s="1"/>
  <c r="F28" i="287"/>
  <c r="G28" i="287" s="1"/>
  <c r="F32" i="287"/>
  <c r="G32" i="287" s="1"/>
  <c r="F38" i="287"/>
  <c r="G38" i="287" s="1"/>
  <c r="F16" i="287"/>
  <c r="G16" i="287" s="1"/>
  <c r="F20" i="287"/>
  <c r="G20" i="287" s="1"/>
  <c r="F24" i="287"/>
  <c r="G24" i="287" s="1"/>
  <c r="H95" i="286"/>
  <c r="G95" i="286"/>
  <c r="H94" i="286"/>
  <c r="G94" i="286"/>
  <c r="K39" i="286"/>
  <c r="J39" i="286"/>
  <c r="I39" i="286"/>
  <c r="H39" i="286"/>
  <c r="E39" i="286"/>
  <c r="F39" i="286" s="1"/>
  <c r="G39" i="286" s="1"/>
  <c r="D39" i="286"/>
  <c r="L39" i="286" s="1"/>
  <c r="K38" i="286"/>
  <c r="J38" i="286"/>
  <c r="I38" i="286"/>
  <c r="H38" i="286"/>
  <c r="E38" i="286"/>
  <c r="D38" i="286"/>
  <c r="L38" i="286" s="1"/>
  <c r="K35" i="286"/>
  <c r="J35" i="286"/>
  <c r="I35" i="286"/>
  <c r="H35" i="286"/>
  <c r="E35" i="286"/>
  <c r="D35" i="286"/>
  <c r="F35" i="286" s="1"/>
  <c r="G35" i="286" s="1"/>
  <c r="L34" i="286"/>
  <c r="K34" i="286"/>
  <c r="J34" i="286"/>
  <c r="I34" i="286"/>
  <c r="H34" i="286"/>
  <c r="E34" i="286"/>
  <c r="D34" i="286"/>
  <c r="F34" i="286" s="1"/>
  <c r="G34" i="286" s="1"/>
  <c r="K33" i="286"/>
  <c r="J33" i="286"/>
  <c r="I33" i="286"/>
  <c r="H33" i="286"/>
  <c r="E33" i="286"/>
  <c r="D33" i="286"/>
  <c r="L33" i="286" s="1"/>
  <c r="K32" i="286"/>
  <c r="J32" i="286"/>
  <c r="I32" i="286"/>
  <c r="H32" i="286"/>
  <c r="E32" i="286"/>
  <c r="D32" i="286"/>
  <c r="L32" i="286" s="1"/>
  <c r="K31" i="286"/>
  <c r="J31" i="286"/>
  <c r="I31" i="286"/>
  <c r="H31" i="286"/>
  <c r="E31" i="286"/>
  <c r="D31" i="286"/>
  <c r="L30" i="286"/>
  <c r="K30" i="286"/>
  <c r="J30" i="286"/>
  <c r="I30" i="286"/>
  <c r="H30" i="286"/>
  <c r="E30" i="286"/>
  <c r="D30" i="286"/>
  <c r="F30" i="286" s="1"/>
  <c r="G30" i="286" s="1"/>
  <c r="L29" i="286"/>
  <c r="K29" i="286"/>
  <c r="J29" i="286"/>
  <c r="I29" i="286"/>
  <c r="H29" i="286"/>
  <c r="E29" i="286"/>
  <c r="F29" i="286" s="1"/>
  <c r="G29" i="286" s="1"/>
  <c r="D29" i="286"/>
  <c r="K28" i="286"/>
  <c r="J28" i="286"/>
  <c r="I28" i="286"/>
  <c r="H28" i="286"/>
  <c r="E28" i="286"/>
  <c r="D28" i="286"/>
  <c r="L28" i="286" s="1"/>
  <c r="L27" i="286"/>
  <c r="K27" i="286"/>
  <c r="J27" i="286"/>
  <c r="I27" i="286"/>
  <c r="H27" i="286"/>
  <c r="E27" i="286"/>
  <c r="D27" i="286"/>
  <c r="F27" i="286" s="1"/>
  <c r="G27" i="286" s="1"/>
  <c r="K26" i="286"/>
  <c r="J26" i="286"/>
  <c r="I26" i="286"/>
  <c r="H26" i="286"/>
  <c r="E26" i="286"/>
  <c r="D26" i="286"/>
  <c r="F26" i="286" s="1"/>
  <c r="G26" i="286" s="1"/>
  <c r="L25" i="286"/>
  <c r="K25" i="286"/>
  <c r="J25" i="286"/>
  <c r="I25" i="286"/>
  <c r="H25" i="286"/>
  <c r="E25" i="286"/>
  <c r="D25" i="286"/>
  <c r="K24" i="286"/>
  <c r="J24" i="286"/>
  <c r="I24" i="286"/>
  <c r="H24" i="286"/>
  <c r="E24" i="286"/>
  <c r="D24" i="286"/>
  <c r="L24" i="286" s="1"/>
  <c r="L23" i="286"/>
  <c r="K23" i="286"/>
  <c r="J23" i="286"/>
  <c r="I23" i="286"/>
  <c r="H23" i="286"/>
  <c r="E23" i="286"/>
  <c r="D23" i="286"/>
  <c r="K22" i="286"/>
  <c r="J22" i="286"/>
  <c r="I22" i="286"/>
  <c r="H22" i="286"/>
  <c r="E22" i="286"/>
  <c r="D22" i="286"/>
  <c r="F22" i="286" s="1"/>
  <c r="G22" i="286" s="1"/>
  <c r="K21" i="286"/>
  <c r="J21" i="286"/>
  <c r="I21" i="286"/>
  <c r="H21" i="286"/>
  <c r="E21" i="286"/>
  <c r="F21" i="286" s="1"/>
  <c r="G21" i="286" s="1"/>
  <c r="D21" i="286"/>
  <c r="L21" i="286" s="1"/>
  <c r="K20" i="286"/>
  <c r="J20" i="286"/>
  <c r="I20" i="286"/>
  <c r="H20" i="286"/>
  <c r="E20" i="286"/>
  <c r="D20" i="286"/>
  <c r="L20" i="286" s="1"/>
  <c r="K19" i="286"/>
  <c r="J19" i="286"/>
  <c r="I19" i="286"/>
  <c r="H19" i="286"/>
  <c r="E19" i="286"/>
  <c r="D19" i="286"/>
  <c r="F19" i="286" s="1"/>
  <c r="G19" i="286" s="1"/>
  <c r="L18" i="286"/>
  <c r="K18" i="286"/>
  <c r="J18" i="286"/>
  <c r="I18" i="286"/>
  <c r="H18" i="286"/>
  <c r="E18" i="286"/>
  <c r="D18" i="286"/>
  <c r="F18" i="286" s="1"/>
  <c r="G18" i="286" s="1"/>
  <c r="K17" i="286"/>
  <c r="J17" i="286"/>
  <c r="I17" i="286"/>
  <c r="H17" i="286"/>
  <c r="E17" i="286"/>
  <c r="D17" i="286"/>
  <c r="L17" i="286" s="1"/>
  <c r="K16" i="286"/>
  <c r="J16" i="286"/>
  <c r="I16" i="286"/>
  <c r="H16" i="286"/>
  <c r="E16" i="286"/>
  <c r="D16" i="286"/>
  <c r="L16" i="286" s="1"/>
  <c r="K15" i="286"/>
  <c r="J15" i="286"/>
  <c r="I15" i="286"/>
  <c r="H15" i="286"/>
  <c r="E15" i="286"/>
  <c r="D15" i="286"/>
  <c r="L14" i="286"/>
  <c r="K14" i="286"/>
  <c r="J14" i="286"/>
  <c r="I14" i="286"/>
  <c r="H14" i="286"/>
  <c r="E14" i="286"/>
  <c r="D14" i="286"/>
  <c r="F14" i="286" s="1"/>
  <c r="G14" i="286" s="1"/>
  <c r="L13" i="286"/>
  <c r="K13" i="286"/>
  <c r="J13" i="286"/>
  <c r="I13" i="286"/>
  <c r="H13" i="286"/>
  <c r="E13" i="286"/>
  <c r="F13" i="286" s="1"/>
  <c r="G13" i="286" s="1"/>
  <c r="D13" i="286"/>
  <c r="E11" i="286"/>
  <c r="J8" i="286"/>
  <c r="F8" i="286"/>
  <c r="H6" i="286"/>
  <c r="J6" i="286" s="1"/>
  <c r="F6" i="286"/>
  <c r="D11" i="286"/>
  <c r="F15" i="286" l="1"/>
  <c r="G15" i="286" s="1"/>
  <c r="F31" i="286"/>
  <c r="G31" i="286" s="1"/>
  <c r="F17" i="286"/>
  <c r="G17" i="286" s="1"/>
  <c r="F33" i="286"/>
  <c r="G33" i="286" s="1"/>
  <c r="L15" i="286"/>
  <c r="F23" i="286"/>
  <c r="G23" i="286" s="1"/>
  <c r="L31" i="286"/>
  <c r="L22" i="286"/>
  <c r="F25" i="286"/>
  <c r="G25" i="286" s="1"/>
  <c r="L26" i="286"/>
  <c r="L19" i="286"/>
  <c r="L35" i="286"/>
  <c r="F16" i="286"/>
  <c r="G16" i="286" s="1"/>
  <c r="F20" i="286"/>
  <c r="G20" i="286" s="1"/>
  <c r="F24" i="286"/>
  <c r="G24" i="286" s="1"/>
  <c r="F28" i="286"/>
  <c r="G28" i="286" s="1"/>
  <c r="F32" i="286"/>
  <c r="G32" i="286" s="1"/>
  <c r="F38" i="286"/>
  <c r="G38" i="286" s="1"/>
  <c r="H95" i="285"/>
  <c r="G95" i="285"/>
  <c r="H94" i="285"/>
  <c r="G94" i="285"/>
  <c r="K39" i="285"/>
  <c r="J39" i="285"/>
  <c r="I39" i="285"/>
  <c r="H39" i="285"/>
  <c r="E39" i="285"/>
  <c r="D39" i="285"/>
  <c r="L39" i="285" s="1"/>
  <c r="K38" i="285"/>
  <c r="J38" i="285"/>
  <c r="I38" i="285"/>
  <c r="H38" i="285"/>
  <c r="E38" i="285"/>
  <c r="D38" i="285"/>
  <c r="F38" i="285" s="1"/>
  <c r="G38" i="285" s="1"/>
  <c r="L35" i="285"/>
  <c r="K35" i="285"/>
  <c r="J35" i="285"/>
  <c r="I35" i="285"/>
  <c r="H35" i="285"/>
  <c r="E35" i="285"/>
  <c r="D35" i="285"/>
  <c r="F35" i="285" s="1"/>
  <c r="G35" i="285" s="1"/>
  <c r="L34" i="285"/>
  <c r="K34" i="285"/>
  <c r="J34" i="285"/>
  <c r="I34" i="285"/>
  <c r="H34" i="285"/>
  <c r="E34" i="285"/>
  <c r="D34" i="285"/>
  <c r="K33" i="285"/>
  <c r="J33" i="285"/>
  <c r="I33" i="285"/>
  <c r="H33" i="285"/>
  <c r="E33" i="285"/>
  <c r="F33" i="285" s="1"/>
  <c r="G33" i="285" s="1"/>
  <c r="D33" i="285"/>
  <c r="L33" i="285" s="1"/>
  <c r="K32" i="285"/>
  <c r="J32" i="285"/>
  <c r="I32" i="285"/>
  <c r="H32" i="285"/>
  <c r="E32" i="285"/>
  <c r="D32" i="285"/>
  <c r="L32" i="285" s="1"/>
  <c r="L31" i="285"/>
  <c r="K31" i="285"/>
  <c r="J31" i="285"/>
  <c r="I31" i="285"/>
  <c r="H31" i="285"/>
  <c r="E31" i="285"/>
  <c r="D31" i="285"/>
  <c r="F31" i="285" s="1"/>
  <c r="G31" i="285" s="1"/>
  <c r="L30" i="285"/>
  <c r="K30" i="285"/>
  <c r="J30" i="285"/>
  <c r="I30" i="285"/>
  <c r="H30" i="285"/>
  <c r="E30" i="285"/>
  <c r="D30" i="285"/>
  <c r="K29" i="285"/>
  <c r="J29" i="285"/>
  <c r="I29" i="285"/>
  <c r="H29" i="285"/>
  <c r="E29" i="285"/>
  <c r="D29" i="285"/>
  <c r="L29" i="285" s="1"/>
  <c r="K28" i="285"/>
  <c r="J28" i="285"/>
  <c r="I28" i="285"/>
  <c r="H28" i="285"/>
  <c r="E28" i="285"/>
  <c r="D28" i="285"/>
  <c r="L28" i="285" s="1"/>
  <c r="L27" i="285"/>
  <c r="K27" i="285"/>
  <c r="J27" i="285"/>
  <c r="I27" i="285"/>
  <c r="H27" i="285"/>
  <c r="E27" i="285"/>
  <c r="D27" i="285"/>
  <c r="F27" i="285" s="1"/>
  <c r="G27" i="285" s="1"/>
  <c r="K26" i="285"/>
  <c r="J26" i="285"/>
  <c r="I26" i="285"/>
  <c r="H26" i="285"/>
  <c r="E26" i="285"/>
  <c r="D26" i="285"/>
  <c r="F26" i="285" s="1"/>
  <c r="G26" i="285" s="1"/>
  <c r="L25" i="285"/>
  <c r="K25" i="285"/>
  <c r="J25" i="285"/>
  <c r="I25" i="285"/>
  <c r="H25" i="285"/>
  <c r="E25" i="285"/>
  <c r="F25" i="285" s="1"/>
  <c r="G25" i="285" s="1"/>
  <c r="D25" i="285"/>
  <c r="K24" i="285"/>
  <c r="J24" i="285"/>
  <c r="I24" i="285"/>
  <c r="H24" i="285"/>
  <c r="E24" i="285"/>
  <c r="D24" i="285"/>
  <c r="L24" i="285" s="1"/>
  <c r="K23" i="285"/>
  <c r="J23" i="285"/>
  <c r="I23" i="285"/>
  <c r="H23" i="285"/>
  <c r="E23" i="285"/>
  <c r="D23" i="285"/>
  <c r="F23" i="285" s="1"/>
  <c r="G23" i="285" s="1"/>
  <c r="K22" i="285"/>
  <c r="J22" i="285"/>
  <c r="I22" i="285"/>
  <c r="H22" i="285"/>
  <c r="E22" i="285"/>
  <c r="D22" i="285"/>
  <c r="F22" i="285" s="1"/>
  <c r="G22" i="285" s="1"/>
  <c r="L21" i="285"/>
  <c r="K21" i="285"/>
  <c r="J21" i="285"/>
  <c r="I21" i="285"/>
  <c r="H21" i="285"/>
  <c r="E21" i="285"/>
  <c r="D21" i="285"/>
  <c r="K20" i="285"/>
  <c r="J20" i="285"/>
  <c r="I20" i="285"/>
  <c r="H20" i="285"/>
  <c r="E20" i="285"/>
  <c r="D20" i="285"/>
  <c r="L20" i="285" s="1"/>
  <c r="K19" i="285"/>
  <c r="J19" i="285"/>
  <c r="I19" i="285"/>
  <c r="H19" i="285"/>
  <c r="E19" i="285"/>
  <c r="D19" i="285"/>
  <c r="F19" i="285" s="1"/>
  <c r="G19" i="285" s="1"/>
  <c r="L18" i="285"/>
  <c r="K18" i="285"/>
  <c r="J18" i="285"/>
  <c r="I18" i="285"/>
  <c r="H18" i="285"/>
  <c r="E18" i="285"/>
  <c r="D18" i="285"/>
  <c r="K17" i="285"/>
  <c r="J17" i="285"/>
  <c r="I17" i="285"/>
  <c r="H17" i="285"/>
  <c r="E17" i="285"/>
  <c r="F17" i="285" s="1"/>
  <c r="G17" i="285" s="1"/>
  <c r="D17" i="285"/>
  <c r="L17" i="285" s="1"/>
  <c r="K16" i="285"/>
  <c r="J16" i="285"/>
  <c r="I16" i="285"/>
  <c r="H16" i="285"/>
  <c r="E16" i="285"/>
  <c r="D16" i="285"/>
  <c r="L16" i="285" s="1"/>
  <c r="L15" i="285"/>
  <c r="K15" i="285"/>
  <c r="J15" i="285"/>
  <c r="I15" i="285"/>
  <c r="H15" i="285"/>
  <c r="E15" i="285"/>
  <c r="D15" i="285"/>
  <c r="F15" i="285" s="1"/>
  <c r="G15" i="285" s="1"/>
  <c r="L14" i="285"/>
  <c r="K14" i="285"/>
  <c r="J14" i="285"/>
  <c r="I14" i="285"/>
  <c r="H14" i="285"/>
  <c r="E14" i="285"/>
  <c r="D14" i="285"/>
  <c r="K13" i="285"/>
  <c r="J13" i="285"/>
  <c r="I13" i="285"/>
  <c r="H13" i="285"/>
  <c r="E13" i="285"/>
  <c r="D13" i="285"/>
  <c r="L13" i="285" s="1"/>
  <c r="E11" i="285"/>
  <c r="J8" i="285"/>
  <c r="F8" i="285"/>
  <c r="H6" i="285"/>
  <c r="J6" i="285" s="1"/>
  <c r="F6" i="285"/>
  <c r="D11" i="285"/>
  <c r="L19" i="285" l="1"/>
  <c r="F13" i="285"/>
  <c r="G13" i="285" s="1"/>
  <c r="L23" i="285"/>
  <c r="F29" i="285"/>
  <c r="G29" i="285" s="1"/>
  <c r="F14" i="285"/>
  <c r="G14" i="285" s="1"/>
  <c r="F21" i="285"/>
  <c r="G21" i="285" s="1"/>
  <c r="L22" i="285"/>
  <c r="F30" i="285"/>
  <c r="G30" i="285" s="1"/>
  <c r="F39" i="285"/>
  <c r="G39" i="285" s="1"/>
  <c r="F18" i="285"/>
  <c r="G18" i="285" s="1"/>
  <c r="L26" i="285"/>
  <c r="F34" i="285"/>
  <c r="G34" i="285" s="1"/>
  <c r="F24" i="285"/>
  <c r="G24" i="285" s="1"/>
  <c r="L38" i="285"/>
  <c r="F16" i="285"/>
  <c r="G16" i="285" s="1"/>
  <c r="F20" i="285"/>
  <c r="G20" i="285" s="1"/>
  <c r="F28" i="285"/>
  <c r="G28" i="285" s="1"/>
  <c r="F32" i="285"/>
  <c r="G32" i="285" s="1"/>
  <c r="H95" i="284"/>
  <c r="G95" i="284"/>
  <c r="H94" i="284"/>
  <c r="G94" i="284"/>
  <c r="L39" i="284"/>
  <c r="K39" i="284"/>
  <c r="J39" i="284"/>
  <c r="I39" i="284"/>
  <c r="H39" i="284"/>
  <c r="E39" i="284"/>
  <c r="D39" i="284"/>
  <c r="K38" i="284"/>
  <c r="J38" i="284"/>
  <c r="I38" i="284"/>
  <c r="H38" i="284"/>
  <c r="E38" i="284"/>
  <c r="D38" i="284"/>
  <c r="F38" i="284" s="1"/>
  <c r="G38" i="284" s="1"/>
  <c r="L35" i="284"/>
  <c r="K35" i="284"/>
  <c r="J35" i="284"/>
  <c r="I35" i="284"/>
  <c r="H35" i="284"/>
  <c r="E35" i="284"/>
  <c r="D35" i="284"/>
  <c r="F35" i="284" s="1"/>
  <c r="G35" i="284" s="1"/>
  <c r="L34" i="284"/>
  <c r="K34" i="284"/>
  <c r="J34" i="284"/>
  <c r="I34" i="284"/>
  <c r="H34" i="284"/>
  <c r="E34" i="284"/>
  <c r="D34" i="284"/>
  <c r="K33" i="284"/>
  <c r="J33" i="284"/>
  <c r="I33" i="284"/>
  <c r="H33" i="284"/>
  <c r="E33" i="284"/>
  <c r="D33" i="284"/>
  <c r="L33" i="284" s="1"/>
  <c r="K32" i="284"/>
  <c r="J32" i="284"/>
  <c r="I32" i="284"/>
  <c r="H32" i="284"/>
  <c r="E32" i="284"/>
  <c r="D32" i="284"/>
  <c r="F32" i="284" s="1"/>
  <c r="G32" i="284" s="1"/>
  <c r="K31" i="284"/>
  <c r="J31" i="284"/>
  <c r="I31" i="284"/>
  <c r="H31" i="284"/>
  <c r="E31" i="284"/>
  <c r="D31" i="284"/>
  <c r="L30" i="284"/>
  <c r="K30" i="284"/>
  <c r="J30" i="284"/>
  <c r="I30" i="284"/>
  <c r="H30" i="284"/>
  <c r="E30" i="284"/>
  <c r="D30" i="284"/>
  <c r="K29" i="284"/>
  <c r="J29" i="284"/>
  <c r="I29" i="284"/>
  <c r="H29" i="284"/>
  <c r="E29" i="284"/>
  <c r="D29" i="284"/>
  <c r="L29" i="284" s="1"/>
  <c r="K28" i="284"/>
  <c r="J28" i="284"/>
  <c r="I28" i="284"/>
  <c r="H28" i="284"/>
  <c r="E28" i="284"/>
  <c r="D28" i="284"/>
  <c r="F28" i="284" s="1"/>
  <c r="G28" i="284" s="1"/>
  <c r="K27" i="284"/>
  <c r="J27" i="284"/>
  <c r="I27" i="284"/>
  <c r="H27" i="284"/>
  <c r="E27" i="284"/>
  <c r="D27" i="284"/>
  <c r="K26" i="284"/>
  <c r="J26" i="284"/>
  <c r="I26" i="284"/>
  <c r="H26" i="284"/>
  <c r="E26" i="284"/>
  <c r="D26" i="284"/>
  <c r="L25" i="284"/>
  <c r="K25" i="284"/>
  <c r="J25" i="284"/>
  <c r="I25" i="284"/>
  <c r="H25" i="284"/>
  <c r="E25" i="284"/>
  <c r="D25" i="284"/>
  <c r="K24" i="284"/>
  <c r="J24" i="284"/>
  <c r="I24" i="284"/>
  <c r="H24" i="284"/>
  <c r="E24" i="284"/>
  <c r="D24" i="284"/>
  <c r="F24" i="284" s="1"/>
  <c r="G24" i="284" s="1"/>
  <c r="L23" i="284"/>
  <c r="K23" i="284"/>
  <c r="J23" i="284"/>
  <c r="I23" i="284"/>
  <c r="H23" i="284"/>
  <c r="E23" i="284"/>
  <c r="D23" i="284"/>
  <c r="F23" i="284" s="1"/>
  <c r="G23" i="284" s="1"/>
  <c r="K22" i="284"/>
  <c r="J22" i="284"/>
  <c r="I22" i="284"/>
  <c r="H22" i="284"/>
  <c r="E22" i="284"/>
  <c r="D22" i="284"/>
  <c r="F22" i="284" s="1"/>
  <c r="G22" i="284" s="1"/>
  <c r="L21" i="284"/>
  <c r="K21" i="284"/>
  <c r="J21" i="284"/>
  <c r="I21" i="284"/>
  <c r="H21" i="284"/>
  <c r="E21" i="284"/>
  <c r="D21" i="284"/>
  <c r="K20" i="284"/>
  <c r="J20" i="284"/>
  <c r="I20" i="284"/>
  <c r="H20" i="284"/>
  <c r="E20" i="284"/>
  <c r="D20" i="284"/>
  <c r="F20" i="284" s="1"/>
  <c r="G20" i="284" s="1"/>
  <c r="L19" i="284"/>
  <c r="K19" i="284"/>
  <c r="J19" i="284"/>
  <c r="I19" i="284"/>
  <c r="H19" i="284"/>
  <c r="E19" i="284"/>
  <c r="D19" i="284"/>
  <c r="F19" i="284" s="1"/>
  <c r="G19" i="284" s="1"/>
  <c r="L18" i="284"/>
  <c r="K18" i="284"/>
  <c r="J18" i="284"/>
  <c r="I18" i="284"/>
  <c r="H18" i="284"/>
  <c r="E18" i="284"/>
  <c r="D18" i="284"/>
  <c r="K17" i="284"/>
  <c r="J17" i="284"/>
  <c r="I17" i="284"/>
  <c r="H17" i="284"/>
  <c r="E17" i="284"/>
  <c r="D17" i="284"/>
  <c r="L17" i="284" s="1"/>
  <c r="K16" i="284"/>
  <c r="J16" i="284"/>
  <c r="I16" i="284"/>
  <c r="H16" i="284"/>
  <c r="E16" i="284"/>
  <c r="D16" i="284"/>
  <c r="F16" i="284" s="1"/>
  <c r="G16" i="284" s="1"/>
  <c r="K15" i="284"/>
  <c r="J15" i="284"/>
  <c r="I15" i="284"/>
  <c r="H15" i="284"/>
  <c r="E15" i="284"/>
  <c r="D15" i="284"/>
  <c r="F15" i="284" s="1"/>
  <c r="G15" i="284" s="1"/>
  <c r="L14" i="284"/>
  <c r="K14" i="284"/>
  <c r="J14" i="284"/>
  <c r="I14" i="284"/>
  <c r="H14" i="284"/>
  <c r="E14" i="284"/>
  <c r="D14" i="284"/>
  <c r="K13" i="284"/>
  <c r="J13" i="284"/>
  <c r="I13" i="284"/>
  <c r="H13" i="284"/>
  <c r="E13" i="284"/>
  <c r="D13" i="284"/>
  <c r="L13" i="284" s="1"/>
  <c r="E11" i="284"/>
  <c r="J8" i="284"/>
  <c r="F8" i="284"/>
  <c r="H6" i="284"/>
  <c r="J6" i="284" s="1"/>
  <c r="F6" i="284"/>
  <c r="D11" i="284"/>
  <c r="F27" i="284" l="1"/>
  <c r="G27" i="284" s="1"/>
  <c r="F31" i="284"/>
  <c r="G31" i="284" s="1"/>
  <c r="F13" i="284"/>
  <c r="G13" i="284" s="1"/>
  <c r="F17" i="284"/>
  <c r="G17" i="284" s="1"/>
  <c r="F26" i="284"/>
  <c r="G26" i="284" s="1"/>
  <c r="F33" i="284"/>
  <c r="G33" i="284" s="1"/>
  <c r="F29" i="284"/>
  <c r="G29" i="284" s="1"/>
  <c r="F14" i="284"/>
  <c r="G14" i="284" s="1"/>
  <c r="F21" i="284"/>
  <c r="G21" i="284" s="1"/>
  <c r="L22" i="284"/>
  <c r="F30" i="284"/>
  <c r="G30" i="284" s="1"/>
  <c r="F39" i="284"/>
  <c r="G39" i="284" s="1"/>
  <c r="L15" i="284"/>
  <c r="L31" i="284"/>
  <c r="L27" i="284"/>
  <c r="F18" i="284"/>
  <c r="G18" i="284" s="1"/>
  <c r="F25" i="284"/>
  <c r="G25" i="284" s="1"/>
  <c r="L26" i="284"/>
  <c r="F34" i="284"/>
  <c r="G34" i="284" s="1"/>
  <c r="L16" i="284"/>
  <c r="L20" i="284"/>
  <c r="L24" i="284"/>
  <c r="L28" i="284"/>
  <c r="L32" i="284"/>
  <c r="L38" i="284"/>
  <c r="H95" i="283"/>
  <c r="G95" i="283"/>
  <c r="H94" i="283"/>
  <c r="G94" i="283"/>
  <c r="K39" i="283"/>
  <c r="J39" i="283"/>
  <c r="I39" i="283"/>
  <c r="H39" i="283"/>
  <c r="E39" i="283"/>
  <c r="D39" i="283"/>
  <c r="L39" i="283" s="1"/>
  <c r="K38" i="283"/>
  <c r="J38" i="283"/>
  <c r="I38" i="283"/>
  <c r="H38" i="283"/>
  <c r="E38" i="283"/>
  <c r="D38" i="283"/>
  <c r="L38" i="283" s="1"/>
  <c r="K35" i="283"/>
  <c r="J35" i="283"/>
  <c r="I35" i="283"/>
  <c r="H35" i="283"/>
  <c r="E35" i="283"/>
  <c r="D35" i="283"/>
  <c r="F35" i="283" s="1"/>
  <c r="G35" i="283" s="1"/>
  <c r="K34" i="283"/>
  <c r="J34" i="283"/>
  <c r="I34" i="283"/>
  <c r="H34" i="283"/>
  <c r="E34" i="283"/>
  <c r="D34" i="283"/>
  <c r="L34" i="283" s="1"/>
  <c r="K33" i="283"/>
  <c r="J33" i="283"/>
  <c r="I33" i="283"/>
  <c r="H33" i="283"/>
  <c r="E33" i="283"/>
  <c r="D33" i="283"/>
  <c r="L33" i="283" s="1"/>
  <c r="K32" i="283"/>
  <c r="J32" i="283"/>
  <c r="I32" i="283"/>
  <c r="H32" i="283"/>
  <c r="E32" i="283"/>
  <c r="D32" i="283"/>
  <c r="L32" i="283" s="1"/>
  <c r="L31" i="283"/>
  <c r="K31" i="283"/>
  <c r="J31" i="283"/>
  <c r="I31" i="283"/>
  <c r="H31" i="283"/>
  <c r="E31" i="283"/>
  <c r="D31" i="283"/>
  <c r="F31" i="283" s="1"/>
  <c r="G31" i="283" s="1"/>
  <c r="L30" i="283"/>
  <c r="K30" i="283"/>
  <c r="J30" i="283"/>
  <c r="I30" i="283"/>
  <c r="H30" i="283"/>
  <c r="E30" i="283"/>
  <c r="F30" i="283" s="1"/>
  <c r="G30" i="283" s="1"/>
  <c r="D30" i="283"/>
  <c r="K29" i="283"/>
  <c r="J29" i="283"/>
  <c r="I29" i="283"/>
  <c r="H29" i="283"/>
  <c r="E29" i="283"/>
  <c r="F29" i="283" s="1"/>
  <c r="G29" i="283" s="1"/>
  <c r="D29" i="283"/>
  <c r="L29" i="283" s="1"/>
  <c r="K28" i="283"/>
  <c r="J28" i="283"/>
  <c r="I28" i="283"/>
  <c r="H28" i="283"/>
  <c r="E28" i="283"/>
  <c r="D28" i="283"/>
  <c r="L28" i="283" s="1"/>
  <c r="K27" i="283"/>
  <c r="J27" i="283"/>
  <c r="I27" i="283"/>
  <c r="H27" i="283"/>
  <c r="E27" i="283"/>
  <c r="D27" i="283"/>
  <c r="F27" i="283" s="1"/>
  <c r="G27" i="283" s="1"/>
  <c r="L26" i="283"/>
  <c r="K26" i="283"/>
  <c r="J26" i="283"/>
  <c r="I26" i="283"/>
  <c r="H26" i="283"/>
  <c r="E26" i="283"/>
  <c r="D26" i="283"/>
  <c r="F26" i="283" s="1"/>
  <c r="G26" i="283" s="1"/>
  <c r="K25" i="283"/>
  <c r="J25" i="283"/>
  <c r="I25" i="283"/>
  <c r="H25" i="283"/>
  <c r="E25" i="283"/>
  <c r="D25" i="283"/>
  <c r="L25" i="283" s="1"/>
  <c r="K24" i="283"/>
  <c r="J24" i="283"/>
  <c r="I24" i="283"/>
  <c r="H24" i="283"/>
  <c r="E24" i="283"/>
  <c r="D24" i="283"/>
  <c r="L24" i="283" s="1"/>
  <c r="K23" i="283"/>
  <c r="J23" i="283"/>
  <c r="I23" i="283"/>
  <c r="H23" i="283"/>
  <c r="E23" i="283"/>
  <c r="D23" i="283"/>
  <c r="F23" i="283" s="1"/>
  <c r="G23" i="283" s="1"/>
  <c r="K22" i="283"/>
  <c r="J22" i="283"/>
  <c r="I22" i="283"/>
  <c r="H22" i="283"/>
  <c r="E22" i="283"/>
  <c r="D22" i="283"/>
  <c r="L22" i="283" s="1"/>
  <c r="K21" i="283"/>
  <c r="J21" i="283"/>
  <c r="I21" i="283"/>
  <c r="H21" i="283"/>
  <c r="E21" i="283"/>
  <c r="D21" i="283"/>
  <c r="L21" i="283" s="1"/>
  <c r="K20" i="283"/>
  <c r="J20" i="283"/>
  <c r="I20" i="283"/>
  <c r="H20" i="283"/>
  <c r="E20" i="283"/>
  <c r="D20" i="283"/>
  <c r="L20" i="283" s="1"/>
  <c r="L19" i="283"/>
  <c r="K19" i="283"/>
  <c r="J19" i="283"/>
  <c r="I19" i="283"/>
  <c r="H19" i="283"/>
  <c r="E19" i="283"/>
  <c r="D19" i="283"/>
  <c r="F19" i="283" s="1"/>
  <c r="G19" i="283" s="1"/>
  <c r="L18" i="283"/>
  <c r="K18" i="283"/>
  <c r="J18" i="283"/>
  <c r="I18" i="283"/>
  <c r="H18" i="283"/>
  <c r="E18" i="283"/>
  <c r="F18" i="283" s="1"/>
  <c r="G18" i="283" s="1"/>
  <c r="D18" i="283"/>
  <c r="K17" i="283"/>
  <c r="J17" i="283"/>
  <c r="I17" i="283"/>
  <c r="H17" i="283"/>
  <c r="E17" i="283"/>
  <c r="F17" i="283" s="1"/>
  <c r="G17" i="283" s="1"/>
  <c r="D17" i="283"/>
  <c r="L17" i="283" s="1"/>
  <c r="K16" i="283"/>
  <c r="J16" i="283"/>
  <c r="I16" i="283"/>
  <c r="H16" i="283"/>
  <c r="E16" i="283"/>
  <c r="D16" i="283"/>
  <c r="L16" i="283" s="1"/>
  <c r="K15" i="283"/>
  <c r="J15" i="283"/>
  <c r="I15" i="283"/>
  <c r="H15" i="283"/>
  <c r="E15" i="283"/>
  <c r="D15" i="283"/>
  <c r="F15" i="283" s="1"/>
  <c r="G15" i="283" s="1"/>
  <c r="L14" i="283"/>
  <c r="K14" i="283"/>
  <c r="J14" i="283"/>
  <c r="I14" i="283"/>
  <c r="H14" i="283"/>
  <c r="E14" i="283"/>
  <c r="D14" i="283"/>
  <c r="F14" i="283" s="1"/>
  <c r="G14" i="283" s="1"/>
  <c r="K13" i="283"/>
  <c r="J13" i="283"/>
  <c r="I13" i="283"/>
  <c r="H13" i="283"/>
  <c r="E13" i="283"/>
  <c r="D13" i="283"/>
  <c r="L13" i="283" s="1"/>
  <c r="E11" i="283"/>
  <c r="J8" i="283"/>
  <c r="F8" i="283"/>
  <c r="H6" i="283"/>
  <c r="J6" i="283" s="1"/>
  <c r="F6" i="283"/>
  <c r="D11" i="283"/>
  <c r="F39" i="283" l="1"/>
  <c r="G39" i="283" s="1"/>
  <c r="F22" i="283"/>
  <c r="G22" i="283" s="1"/>
  <c r="F34" i="283"/>
  <c r="G34" i="283" s="1"/>
  <c r="L23" i="283"/>
  <c r="L35" i="283"/>
  <c r="F25" i="283"/>
  <c r="G25" i="283" s="1"/>
  <c r="F13" i="283"/>
  <c r="G13" i="283" s="1"/>
  <c r="F21" i="283"/>
  <c r="G21" i="283" s="1"/>
  <c r="L27" i="283"/>
  <c r="F33" i="283"/>
  <c r="G33" i="283" s="1"/>
  <c r="L15" i="283"/>
  <c r="F16" i="283"/>
  <c r="G16" i="283" s="1"/>
  <c r="F20" i="283"/>
  <c r="G20" i="283" s="1"/>
  <c r="F24" i="283"/>
  <c r="G24" i="283" s="1"/>
  <c r="F28" i="283"/>
  <c r="G28" i="283" s="1"/>
  <c r="F32" i="283"/>
  <c r="G32" i="283" s="1"/>
  <c r="F38" i="283"/>
  <c r="G38" i="283" s="1"/>
  <c r="H95" i="282" l="1"/>
  <c r="G95" i="282"/>
  <c r="H94" i="282"/>
  <c r="G94" i="282"/>
  <c r="K39" i="282"/>
  <c r="J39" i="282"/>
  <c r="I39" i="282"/>
  <c r="H39" i="282"/>
  <c r="E39" i="282"/>
  <c r="D39" i="282"/>
  <c r="L39" i="282" s="1"/>
  <c r="K38" i="282"/>
  <c r="J38" i="282"/>
  <c r="I38" i="282"/>
  <c r="H38" i="282"/>
  <c r="E38" i="282"/>
  <c r="D38" i="282"/>
  <c r="L38" i="282" s="1"/>
  <c r="K35" i="282"/>
  <c r="J35" i="282"/>
  <c r="I35" i="282"/>
  <c r="H35" i="282"/>
  <c r="E35" i="282"/>
  <c r="D35" i="282"/>
  <c r="F35" i="282" s="1"/>
  <c r="G35" i="282" s="1"/>
  <c r="K34" i="282"/>
  <c r="J34" i="282"/>
  <c r="I34" i="282"/>
  <c r="H34" i="282"/>
  <c r="E34" i="282"/>
  <c r="D34" i="282"/>
  <c r="L34" i="282" s="1"/>
  <c r="L33" i="282"/>
  <c r="K33" i="282"/>
  <c r="J33" i="282"/>
  <c r="I33" i="282"/>
  <c r="H33" i="282"/>
  <c r="E33" i="282"/>
  <c r="D33" i="282"/>
  <c r="K32" i="282"/>
  <c r="J32" i="282"/>
  <c r="I32" i="282"/>
  <c r="H32" i="282"/>
  <c r="E32" i="282"/>
  <c r="D32" i="282"/>
  <c r="L32" i="282" s="1"/>
  <c r="L31" i="282"/>
  <c r="K31" i="282"/>
  <c r="J31" i="282"/>
  <c r="I31" i="282"/>
  <c r="H31" i="282"/>
  <c r="E31" i="282"/>
  <c r="D31" i="282"/>
  <c r="F31" i="282" s="1"/>
  <c r="G31" i="282" s="1"/>
  <c r="K30" i="282"/>
  <c r="J30" i="282"/>
  <c r="I30" i="282"/>
  <c r="H30" i="282"/>
  <c r="E30" i="282"/>
  <c r="D30" i="282"/>
  <c r="L30" i="282" s="1"/>
  <c r="K29" i="282"/>
  <c r="J29" i="282"/>
  <c r="I29" i="282"/>
  <c r="H29" i="282"/>
  <c r="E29" i="282"/>
  <c r="D29" i="282"/>
  <c r="L29" i="282" s="1"/>
  <c r="K28" i="282"/>
  <c r="J28" i="282"/>
  <c r="I28" i="282"/>
  <c r="H28" i="282"/>
  <c r="E28" i="282"/>
  <c r="D28" i="282"/>
  <c r="L28" i="282" s="1"/>
  <c r="K27" i="282"/>
  <c r="J27" i="282"/>
  <c r="I27" i="282"/>
  <c r="H27" i="282"/>
  <c r="E27" i="282"/>
  <c r="D27" i="282"/>
  <c r="F27" i="282" s="1"/>
  <c r="G27" i="282" s="1"/>
  <c r="L26" i="282"/>
  <c r="K26" i="282"/>
  <c r="J26" i="282"/>
  <c r="I26" i="282"/>
  <c r="H26" i="282"/>
  <c r="E26" i="282"/>
  <c r="D26" i="282"/>
  <c r="F26" i="282" s="1"/>
  <c r="G26" i="282" s="1"/>
  <c r="K25" i="282"/>
  <c r="J25" i="282"/>
  <c r="I25" i="282"/>
  <c r="H25" i="282"/>
  <c r="E25" i="282"/>
  <c r="F25" i="282" s="1"/>
  <c r="G25" i="282" s="1"/>
  <c r="D25" i="282"/>
  <c r="L25" i="282" s="1"/>
  <c r="K24" i="282"/>
  <c r="J24" i="282"/>
  <c r="I24" i="282"/>
  <c r="H24" i="282"/>
  <c r="E24" i="282"/>
  <c r="D24" i="282"/>
  <c r="L24" i="282" s="1"/>
  <c r="K23" i="282"/>
  <c r="J23" i="282"/>
  <c r="I23" i="282"/>
  <c r="H23" i="282"/>
  <c r="E23" i="282"/>
  <c r="D23" i="282"/>
  <c r="F23" i="282" s="1"/>
  <c r="G23" i="282" s="1"/>
  <c r="K22" i="282"/>
  <c r="J22" i="282"/>
  <c r="I22" i="282"/>
  <c r="H22" i="282"/>
  <c r="E22" i="282"/>
  <c r="D22" i="282"/>
  <c r="L22" i="282" s="1"/>
  <c r="L21" i="282"/>
  <c r="K21" i="282"/>
  <c r="J21" i="282"/>
  <c r="I21" i="282"/>
  <c r="H21" i="282"/>
  <c r="E21" i="282"/>
  <c r="D21" i="282"/>
  <c r="K20" i="282"/>
  <c r="J20" i="282"/>
  <c r="I20" i="282"/>
  <c r="H20" i="282"/>
  <c r="E20" i="282"/>
  <c r="D20" i="282"/>
  <c r="L20" i="282" s="1"/>
  <c r="L19" i="282"/>
  <c r="K19" i="282"/>
  <c r="J19" i="282"/>
  <c r="I19" i="282"/>
  <c r="H19" i="282"/>
  <c r="E19" i="282"/>
  <c r="D19" i="282"/>
  <c r="F19" i="282" s="1"/>
  <c r="G19" i="282" s="1"/>
  <c r="K18" i="282"/>
  <c r="J18" i="282"/>
  <c r="I18" i="282"/>
  <c r="H18" i="282"/>
  <c r="E18" i="282"/>
  <c r="D18" i="282"/>
  <c r="L18" i="282" s="1"/>
  <c r="K17" i="282"/>
  <c r="J17" i="282"/>
  <c r="I17" i="282"/>
  <c r="H17" i="282"/>
  <c r="E17" i="282"/>
  <c r="D17" i="282"/>
  <c r="L17" i="282" s="1"/>
  <c r="K16" i="282"/>
  <c r="J16" i="282"/>
  <c r="I16" i="282"/>
  <c r="H16" i="282"/>
  <c r="E16" i="282"/>
  <c r="D16" i="282"/>
  <c r="L16" i="282" s="1"/>
  <c r="K15" i="282"/>
  <c r="J15" i="282"/>
  <c r="I15" i="282"/>
  <c r="H15" i="282"/>
  <c r="E15" i="282"/>
  <c r="D15" i="282"/>
  <c r="F15" i="282" s="1"/>
  <c r="G15" i="282" s="1"/>
  <c r="L14" i="282"/>
  <c r="K14" i="282"/>
  <c r="J14" i="282"/>
  <c r="I14" i="282"/>
  <c r="H14" i="282"/>
  <c r="E14" i="282"/>
  <c r="D14" i="282"/>
  <c r="F14" i="282" s="1"/>
  <c r="G14" i="282" s="1"/>
  <c r="K13" i="282"/>
  <c r="J13" i="282"/>
  <c r="I13" i="282"/>
  <c r="H13" i="282"/>
  <c r="E13" i="282"/>
  <c r="F13" i="282" s="1"/>
  <c r="G13" i="282" s="1"/>
  <c r="D13" i="282"/>
  <c r="L13" i="282" s="1"/>
  <c r="E11" i="282"/>
  <c r="J8" i="282"/>
  <c r="F8" i="282"/>
  <c r="H6" i="282"/>
  <c r="J6" i="282" s="1"/>
  <c r="F6" i="282"/>
  <c r="D11" i="282"/>
  <c r="F18" i="282" l="1"/>
  <c r="G18" i="282" s="1"/>
  <c r="F30" i="282"/>
  <c r="G30" i="282" s="1"/>
  <c r="F39" i="282"/>
  <c r="G39" i="282" s="1"/>
  <c r="F17" i="282"/>
  <c r="G17" i="282" s="1"/>
  <c r="F22" i="282"/>
  <c r="G22" i="282" s="1"/>
  <c r="L23" i="282"/>
  <c r="F29" i="282"/>
  <c r="G29" i="282" s="1"/>
  <c r="F34" i="282"/>
  <c r="G34" i="282" s="1"/>
  <c r="L35" i="282"/>
  <c r="L15" i="282"/>
  <c r="F21" i="282"/>
  <c r="G21" i="282" s="1"/>
  <c r="L27" i="282"/>
  <c r="F33" i="282"/>
  <c r="G33" i="282" s="1"/>
  <c r="F16" i="282"/>
  <c r="G16" i="282" s="1"/>
  <c r="F20" i="282"/>
  <c r="G20" i="282" s="1"/>
  <c r="F24" i="282"/>
  <c r="G24" i="282" s="1"/>
  <c r="F28" i="282"/>
  <c r="G28" i="282" s="1"/>
  <c r="F32" i="282"/>
  <c r="G32" i="282" s="1"/>
  <c r="F38" i="282"/>
  <c r="G38" i="282" s="1"/>
  <c r="H95" i="281"/>
  <c r="G95" i="281"/>
  <c r="H94" i="281"/>
  <c r="G94" i="281"/>
  <c r="K39" i="281"/>
  <c r="J39" i="281"/>
  <c r="I39" i="281"/>
  <c r="H39" i="281"/>
  <c r="E39" i="281"/>
  <c r="D39" i="281"/>
  <c r="L39" i="281" s="1"/>
  <c r="K38" i="281"/>
  <c r="J38" i="281"/>
  <c r="I38" i="281"/>
  <c r="H38" i="281"/>
  <c r="E38" i="281"/>
  <c r="D38" i="281"/>
  <c r="L38" i="281" s="1"/>
  <c r="L35" i="281"/>
  <c r="K35" i="281"/>
  <c r="J35" i="281"/>
  <c r="I35" i="281"/>
  <c r="H35" i="281"/>
  <c r="E35" i="281"/>
  <c r="D35" i="281"/>
  <c r="F35" i="281" s="1"/>
  <c r="G35" i="281" s="1"/>
  <c r="K34" i="281"/>
  <c r="J34" i="281"/>
  <c r="I34" i="281"/>
  <c r="H34" i="281"/>
  <c r="E34" i="281"/>
  <c r="D34" i="281"/>
  <c r="L34" i="281" s="1"/>
  <c r="K33" i="281"/>
  <c r="J33" i="281"/>
  <c r="I33" i="281"/>
  <c r="H33" i="281"/>
  <c r="E33" i="281"/>
  <c r="D33" i="281"/>
  <c r="L32" i="281"/>
  <c r="K32" i="281"/>
  <c r="J32" i="281"/>
  <c r="I32" i="281"/>
  <c r="H32" i="281"/>
  <c r="E32" i="281"/>
  <c r="D32" i="281"/>
  <c r="F32" i="281" s="1"/>
  <c r="G32" i="281" s="1"/>
  <c r="K31" i="281"/>
  <c r="J31" i="281"/>
  <c r="I31" i="281"/>
  <c r="H31" i="281"/>
  <c r="E31" i="281"/>
  <c r="D31" i="281"/>
  <c r="L31" i="281" s="1"/>
  <c r="K30" i="281"/>
  <c r="J30" i="281"/>
  <c r="I30" i="281"/>
  <c r="H30" i="281"/>
  <c r="E30" i="281"/>
  <c r="D30" i="281"/>
  <c r="L30" i="281" s="1"/>
  <c r="K29" i="281"/>
  <c r="J29" i="281"/>
  <c r="I29" i="281"/>
  <c r="H29" i="281"/>
  <c r="E29" i="281"/>
  <c r="D29" i="281"/>
  <c r="F29" i="281" s="1"/>
  <c r="G29" i="281" s="1"/>
  <c r="K28" i="281"/>
  <c r="J28" i="281"/>
  <c r="I28" i="281"/>
  <c r="H28" i="281"/>
  <c r="E28" i="281"/>
  <c r="D28" i="281"/>
  <c r="F28" i="281" s="1"/>
  <c r="G28" i="281" s="1"/>
  <c r="L27" i="281"/>
  <c r="K27" i="281"/>
  <c r="J27" i="281"/>
  <c r="I27" i="281"/>
  <c r="H27" i="281"/>
  <c r="E27" i="281"/>
  <c r="D27" i="281"/>
  <c r="F27" i="281" s="1"/>
  <c r="G27" i="281" s="1"/>
  <c r="K26" i="281"/>
  <c r="J26" i="281"/>
  <c r="I26" i="281"/>
  <c r="H26" i="281"/>
  <c r="E26" i="281"/>
  <c r="D26" i="281"/>
  <c r="L26" i="281" s="1"/>
  <c r="L25" i="281"/>
  <c r="K25" i="281"/>
  <c r="J25" i="281"/>
  <c r="I25" i="281"/>
  <c r="H25" i="281"/>
  <c r="E25" i="281"/>
  <c r="D25" i="281"/>
  <c r="F25" i="281" s="1"/>
  <c r="G25" i="281" s="1"/>
  <c r="K24" i="281"/>
  <c r="J24" i="281"/>
  <c r="I24" i="281"/>
  <c r="H24" i="281"/>
  <c r="E24" i="281"/>
  <c r="D24" i="281"/>
  <c r="F24" i="281" s="1"/>
  <c r="G24" i="281" s="1"/>
  <c r="L23" i="281"/>
  <c r="K23" i="281"/>
  <c r="J23" i="281"/>
  <c r="I23" i="281"/>
  <c r="H23" i="281"/>
  <c r="E23" i="281"/>
  <c r="D23" i="281"/>
  <c r="F23" i="281" s="1"/>
  <c r="G23" i="281" s="1"/>
  <c r="K22" i="281"/>
  <c r="J22" i="281"/>
  <c r="I22" i="281"/>
  <c r="H22" i="281"/>
  <c r="E22" i="281"/>
  <c r="D22" i="281"/>
  <c r="L22" i="281" s="1"/>
  <c r="K21" i="281"/>
  <c r="J21" i="281"/>
  <c r="I21" i="281"/>
  <c r="H21" i="281"/>
  <c r="E21" i="281"/>
  <c r="D21" i="281"/>
  <c r="F21" i="281" s="1"/>
  <c r="G21" i="281" s="1"/>
  <c r="L20" i="281"/>
  <c r="K20" i="281"/>
  <c r="J20" i="281"/>
  <c r="I20" i="281"/>
  <c r="H20" i="281"/>
  <c r="E20" i="281"/>
  <c r="D20" i="281"/>
  <c r="F20" i="281" s="1"/>
  <c r="G20" i="281" s="1"/>
  <c r="K19" i="281"/>
  <c r="J19" i="281"/>
  <c r="I19" i="281"/>
  <c r="H19" i="281"/>
  <c r="E19" i="281"/>
  <c r="D19" i="281"/>
  <c r="L19" i="281" s="1"/>
  <c r="K18" i="281"/>
  <c r="J18" i="281"/>
  <c r="I18" i="281"/>
  <c r="H18" i="281"/>
  <c r="E18" i="281"/>
  <c r="D18" i="281"/>
  <c r="L18" i="281" s="1"/>
  <c r="K17" i="281"/>
  <c r="J17" i="281"/>
  <c r="I17" i="281"/>
  <c r="H17" i="281"/>
  <c r="E17" i="281"/>
  <c r="D17" i="281"/>
  <c r="F17" i="281" s="1"/>
  <c r="G17" i="281" s="1"/>
  <c r="K16" i="281"/>
  <c r="J16" i="281"/>
  <c r="I16" i="281"/>
  <c r="H16" i="281"/>
  <c r="E16" i="281"/>
  <c r="D16" i="281"/>
  <c r="F16" i="281" s="1"/>
  <c r="G16" i="281" s="1"/>
  <c r="L15" i="281"/>
  <c r="K15" i="281"/>
  <c r="J15" i="281"/>
  <c r="I15" i="281"/>
  <c r="H15" i="281"/>
  <c r="E15" i="281"/>
  <c r="D15" i="281"/>
  <c r="F15" i="281" s="1"/>
  <c r="G15" i="281" s="1"/>
  <c r="K14" i="281"/>
  <c r="J14" i="281"/>
  <c r="I14" i="281"/>
  <c r="H14" i="281"/>
  <c r="E14" i="281"/>
  <c r="D14" i="281"/>
  <c r="L14" i="281" s="1"/>
  <c r="L13" i="281"/>
  <c r="K13" i="281"/>
  <c r="J13" i="281"/>
  <c r="I13" i="281"/>
  <c r="H13" i="281"/>
  <c r="E13" i="281"/>
  <c r="D13" i="281"/>
  <c r="F13" i="281" s="1"/>
  <c r="G13" i="281" s="1"/>
  <c r="E11" i="281"/>
  <c r="J8" i="281"/>
  <c r="F8" i="281"/>
  <c r="H6" i="281"/>
  <c r="J6" i="281" s="1"/>
  <c r="F6" i="281"/>
  <c r="D11" i="281"/>
  <c r="F31" i="281" l="1"/>
  <c r="G31" i="281" s="1"/>
  <c r="F33" i="281"/>
  <c r="G33" i="281" s="1"/>
  <c r="L17" i="281"/>
  <c r="L29" i="281"/>
  <c r="F19" i="281"/>
  <c r="G19" i="281" s="1"/>
  <c r="F39" i="281"/>
  <c r="G39" i="281" s="1"/>
  <c r="L21" i="281"/>
  <c r="L33" i="281"/>
  <c r="L24" i="281"/>
  <c r="L16" i="281"/>
  <c r="L28" i="281"/>
  <c r="F14" i="281"/>
  <c r="G14" i="281" s="1"/>
  <c r="F18" i="281"/>
  <c r="G18" i="281" s="1"/>
  <c r="F22" i="281"/>
  <c r="G22" i="281" s="1"/>
  <c r="F26" i="281"/>
  <c r="G26" i="281" s="1"/>
  <c r="F30" i="281"/>
  <c r="G30" i="281" s="1"/>
  <c r="F34" i="281"/>
  <c r="G34" i="281" s="1"/>
  <c r="F38" i="281"/>
  <c r="G38" i="281" s="1"/>
  <c r="H95" i="280"/>
  <c r="G95" i="280"/>
  <c r="H94" i="280"/>
  <c r="G94" i="280"/>
  <c r="K39" i="280"/>
  <c r="J39" i="280"/>
  <c r="I39" i="280"/>
  <c r="H39" i="280"/>
  <c r="E39" i="280"/>
  <c r="D39" i="280"/>
  <c r="L39" i="280" s="1"/>
  <c r="K38" i="280"/>
  <c r="J38" i="280"/>
  <c r="I38" i="280"/>
  <c r="H38" i="280"/>
  <c r="E38" i="280"/>
  <c r="D38" i="280"/>
  <c r="L38" i="280" s="1"/>
  <c r="L35" i="280"/>
  <c r="K35" i="280"/>
  <c r="J35" i="280"/>
  <c r="I35" i="280"/>
  <c r="H35" i="280"/>
  <c r="E35" i="280"/>
  <c r="D35" i="280"/>
  <c r="F35" i="280" s="1"/>
  <c r="G35" i="280" s="1"/>
  <c r="K34" i="280"/>
  <c r="J34" i="280"/>
  <c r="I34" i="280"/>
  <c r="H34" i="280"/>
  <c r="E34" i="280"/>
  <c r="D34" i="280"/>
  <c r="F34" i="280" s="1"/>
  <c r="G34" i="280" s="1"/>
  <c r="K33" i="280"/>
  <c r="J33" i="280"/>
  <c r="I33" i="280"/>
  <c r="H33" i="280"/>
  <c r="E33" i="280"/>
  <c r="F33" i="280" s="1"/>
  <c r="G33" i="280" s="1"/>
  <c r="D33" i="280"/>
  <c r="L33" i="280" s="1"/>
  <c r="K32" i="280"/>
  <c r="J32" i="280"/>
  <c r="I32" i="280"/>
  <c r="H32" i="280"/>
  <c r="E32" i="280"/>
  <c r="D32" i="280"/>
  <c r="L32" i="280" s="1"/>
  <c r="K31" i="280"/>
  <c r="J31" i="280"/>
  <c r="I31" i="280"/>
  <c r="H31" i="280"/>
  <c r="E31" i="280"/>
  <c r="D31" i="280"/>
  <c r="F31" i="280" s="1"/>
  <c r="G31" i="280" s="1"/>
  <c r="L30" i="280"/>
  <c r="K30" i="280"/>
  <c r="J30" i="280"/>
  <c r="I30" i="280"/>
  <c r="H30" i="280"/>
  <c r="E30" i="280"/>
  <c r="D30" i="280"/>
  <c r="F30" i="280" s="1"/>
  <c r="G30" i="280" s="1"/>
  <c r="K29" i="280"/>
  <c r="J29" i="280"/>
  <c r="I29" i="280"/>
  <c r="H29" i="280"/>
  <c r="E29" i="280"/>
  <c r="D29" i="280"/>
  <c r="L29" i="280" s="1"/>
  <c r="K28" i="280"/>
  <c r="J28" i="280"/>
  <c r="I28" i="280"/>
  <c r="H28" i="280"/>
  <c r="E28" i="280"/>
  <c r="D28" i="280"/>
  <c r="L28" i="280" s="1"/>
  <c r="K27" i="280"/>
  <c r="J27" i="280"/>
  <c r="I27" i="280"/>
  <c r="H27" i="280"/>
  <c r="E27" i="280"/>
  <c r="D27" i="280"/>
  <c r="L26" i="280"/>
  <c r="K26" i="280"/>
  <c r="J26" i="280"/>
  <c r="I26" i="280"/>
  <c r="H26" i="280"/>
  <c r="E26" i="280"/>
  <c r="D26" i="280"/>
  <c r="K25" i="280"/>
  <c r="J25" i="280"/>
  <c r="I25" i="280"/>
  <c r="H25" i="280"/>
  <c r="E25" i="280"/>
  <c r="D25" i="280"/>
  <c r="L25" i="280" s="1"/>
  <c r="K24" i="280"/>
  <c r="J24" i="280"/>
  <c r="I24" i="280"/>
  <c r="H24" i="280"/>
  <c r="E24" i="280"/>
  <c r="D24" i="280"/>
  <c r="L24" i="280" s="1"/>
  <c r="K23" i="280"/>
  <c r="J23" i="280"/>
  <c r="I23" i="280"/>
  <c r="H23" i="280"/>
  <c r="E23" i="280"/>
  <c r="D23" i="280"/>
  <c r="L22" i="280"/>
  <c r="K22" i="280"/>
  <c r="J22" i="280"/>
  <c r="I22" i="280"/>
  <c r="H22" i="280"/>
  <c r="E22" i="280"/>
  <c r="D22" i="280"/>
  <c r="K21" i="280"/>
  <c r="J21" i="280"/>
  <c r="I21" i="280"/>
  <c r="H21" i="280"/>
  <c r="E21" i="280"/>
  <c r="D21" i="280"/>
  <c r="L21" i="280" s="1"/>
  <c r="K20" i="280"/>
  <c r="J20" i="280"/>
  <c r="I20" i="280"/>
  <c r="H20" i="280"/>
  <c r="E20" i="280"/>
  <c r="D20" i="280"/>
  <c r="L20" i="280" s="1"/>
  <c r="L19" i="280"/>
  <c r="K19" i="280"/>
  <c r="J19" i="280"/>
  <c r="I19" i="280"/>
  <c r="H19" i="280"/>
  <c r="E19" i="280"/>
  <c r="D19" i="280"/>
  <c r="K18" i="280"/>
  <c r="J18" i="280"/>
  <c r="I18" i="280"/>
  <c r="H18" i="280"/>
  <c r="E18" i="280"/>
  <c r="D18" i="280"/>
  <c r="F18" i="280" s="1"/>
  <c r="G18" i="280" s="1"/>
  <c r="K17" i="280"/>
  <c r="J17" i="280"/>
  <c r="I17" i="280"/>
  <c r="H17" i="280"/>
  <c r="E17" i="280"/>
  <c r="D17" i="280"/>
  <c r="L17" i="280" s="1"/>
  <c r="K16" i="280"/>
  <c r="J16" i="280"/>
  <c r="I16" i="280"/>
  <c r="H16" i="280"/>
  <c r="E16" i="280"/>
  <c r="D16" i="280"/>
  <c r="L16" i="280" s="1"/>
  <c r="L15" i="280"/>
  <c r="K15" i="280"/>
  <c r="J15" i="280"/>
  <c r="I15" i="280"/>
  <c r="H15" i="280"/>
  <c r="E15" i="280"/>
  <c r="D15" i="280"/>
  <c r="F15" i="280" s="1"/>
  <c r="G15" i="280" s="1"/>
  <c r="K14" i="280"/>
  <c r="J14" i="280"/>
  <c r="I14" i="280"/>
  <c r="H14" i="280"/>
  <c r="E14" i="280"/>
  <c r="D14" i="280"/>
  <c r="F14" i="280" s="1"/>
  <c r="G14" i="280" s="1"/>
  <c r="K13" i="280"/>
  <c r="J13" i="280"/>
  <c r="I13" i="280"/>
  <c r="H13" i="280"/>
  <c r="E13" i="280"/>
  <c r="D13" i="280"/>
  <c r="L13" i="280" s="1"/>
  <c r="E11" i="280"/>
  <c r="J8" i="280"/>
  <c r="F8" i="280"/>
  <c r="H6" i="280"/>
  <c r="J6" i="280" s="1"/>
  <c r="F6" i="280"/>
  <c r="D11" i="280"/>
  <c r="F21" i="280" l="1"/>
  <c r="G21" i="280" s="1"/>
  <c r="F23" i="280"/>
  <c r="G23" i="280" s="1"/>
  <c r="F25" i="280"/>
  <c r="G25" i="280" s="1"/>
  <c r="F27" i="280"/>
  <c r="G27" i="280" s="1"/>
  <c r="F22" i="280"/>
  <c r="G22" i="280" s="1"/>
  <c r="L34" i="280"/>
  <c r="F29" i="280"/>
  <c r="G29" i="280" s="1"/>
  <c r="F26" i="280"/>
  <c r="G26" i="280" s="1"/>
  <c r="L27" i="280"/>
  <c r="F39" i="280"/>
  <c r="G39" i="280" s="1"/>
  <c r="F13" i="280"/>
  <c r="G13" i="280" s="1"/>
  <c r="L18" i="280"/>
  <c r="L23" i="280"/>
  <c r="L14" i="280"/>
  <c r="F17" i="280"/>
  <c r="G17" i="280" s="1"/>
  <c r="F19" i="280"/>
  <c r="G19" i="280" s="1"/>
  <c r="L31" i="280"/>
  <c r="F38" i="280"/>
  <c r="G38" i="280" s="1"/>
  <c r="F16" i="280"/>
  <c r="G16" i="280" s="1"/>
  <c r="F20" i="280"/>
  <c r="G20" i="280" s="1"/>
  <c r="F24" i="280"/>
  <c r="G24" i="280" s="1"/>
  <c r="F28" i="280"/>
  <c r="G28" i="280" s="1"/>
  <c r="F32" i="280"/>
  <c r="G32" i="280" s="1"/>
  <c r="H95" i="279"/>
  <c r="G95" i="279"/>
  <c r="H94" i="279"/>
  <c r="G94" i="279"/>
  <c r="K39" i="279"/>
  <c r="J39" i="279"/>
  <c r="I39" i="279"/>
  <c r="H39" i="279"/>
  <c r="E39" i="279"/>
  <c r="D39" i="279"/>
  <c r="L39" i="279" s="1"/>
  <c r="K38" i="279"/>
  <c r="J38" i="279"/>
  <c r="I38" i="279"/>
  <c r="H38" i="279"/>
  <c r="E38" i="279"/>
  <c r="D38" i="279"/>
  <c r="L38" i="279" s="1"/>
  <c r="K35" i="279"/>
  <c r="J35" i="279"/>
  <c r="I35" i="279"/>
  <c r="H35" i="279"/>
  <c r="E35" i="279"/>
  <c r="D35" i="279"/>
  <c r="F35" i="279" s="1"/>
  <c r="G35" i="279" s="1"/>
  <c r="L34" i="279"/>
  <c r="K34" i="279"/>
  <c r="J34" i="279"/>
  <c r="I34" i="279"/>
  <c r="H34" i="279"/>
  <c r="E34" i="279"/>
  <c r="D34" i="279"/>
  <c r="L33" i="279"/>
  <c r="K33" i="279"/>
  <c r="J33" i="279"/>
  <c r="I33" i="279"/>
  <c r="H33" i="279"/>
  <c r="E33" i="279"/>
  <c r="F33" i="279" s="1"/>
  <c r="G33" i="279" s="1"/>
  <c r="D33" i="279"/>
  <c r="K32" i="279"/>
  <c r="J32" i="279"/>
  <c r="I32" i="279"/>
  <c r="H32" i="279"/>
  <c r="E32" i="279"/>
  <c r="D32" i="279"/>
  <c r="L32" i="279" s="1"/>
  <c r="L31" i="279"/>
  <c r="K31" i="279"/>
  <c r="J31" i="279"/>
  <c r="I31" i="279"/>
  <c r="H31" i="279"/>
  <c r="E31" i="279"/>
  <c r="D31" i="279"/>
  <c r="F31" i="279" s="1"/>
  <c r="G31" i="279" s="1"/>
  <c r="K30" i="279"/>
  <c r="J30" i="279"/>
  <c r="I30" i="279"/>
  <c r="H30" i="279"/>
  <c r="E30" i="279"/>
  <c r="D30" i="279"/>
  <c r="F30" i="279" s="1"/>
  <c r="G30" i="279" s="1"/>
  <c r="L29" i="279"/>
  <c r="K29" i="279"/>
  <c r="J29" i="279"/>
  <c r="I29" i="279"/>
  <c r="H29" i="279"/>
  <c r="E29" i="279"/>
  <c r="D29" i="279"/>
  <c r="K28" i="279"/>
  <c r="J28" i="279"/>
  <c r="I28" i="279"/>
  <c r="H28" i="279"/>
  <c r="E28" i="279"/>
  <c r="D28" i="279"/>
  <c r="L28" i="279" s="1"/>
  <c r="L27" i="279"/>
  <c r="K27" i="279"/>
  <c r="J27" i="279"/>
  <c r="I27" i="279"/>
  <c r="H27" i="279"/>
  <c r="E27" i="279"/>
  <c r="D27" i="279"/>
  <c r="F27" i="279" s="1"/>
  <c r="G27" i="279" s="1"/>
  <c r="K26" i="279"/>
  <c r="J26" i="279"/>
  <c r="I26" i="279"/>
  <c r="H26" i="279"/>
  <c r="E26" i="279"/>
  <c r="D26" i="279"/>
  <c r="F26" i="279" s="1"/>
  <c r="G26" i="279" s="1"/>
  <c r="K25" i="279"/>
  <c r="J25" i="279"/>
  <c r="I25" i="279"/>
  <c r="H25" i="279"/>
  <c r="E25" i="279"/>
  <c r="D25" i="279"/>
  <c r="L25" i="279" s="1"/>
  <c r="K24" i="279"/>
  <c r="J24" i="279"/>
  <c r="I24" i="279"/>
  <c r="H24" i="279"/>
  <c r="E24" i="279"/>
  <c r="D24" i="279"/>
  <c r="L24" i="279" s="1"/>
  <c r="K23" i="279"/>
  <c r="J23" i="279"/>
  <c r="I23" i="279"/>
  <c r="H23" i="279"/>
  <c r="E23" i="279"/>
  <c r="D23" i="279"/>
  <c r="F23" i="279" s="1"/>
  <c r="G23" i="279" s="1"/>
  <c r="L22" i="279"/>
  <c r="K22" i="279"/>
  <c r="J22" i="279"/>
  <c r="I22" i="279"/>
  <c r="H22" i="279"/>
  <c r="E22" i="279"/>
  <c r="D22" i="279"/>
  <c r="F22" i="279" s="1"/>
  <c r="G22" i="279" s="1"/>
  <c r="K21" i="279"/>
  <c r="J21" i="279"/>
  <c r="I21" i="279"/>
  <c r="H21" i="279"/>
  <c r="E21" i="279"/>
  <c r="D21" i="279"/>
  <c r="L21" i="279" s="1"/>
  <c r="K20" i="279"/>
  <c r="J20" i="279"/>
  <c r="I20" i="279"/>
  <c r="H20" i="279"/>
  <c r="E20" i="279"/>
  <c r="D20" i="279"/>
  <c r="L20" i="279" s="1"/>
  <c r="K19" i="279"/>
  <c r="J19" i="279"/>
  <c r="I19" i="279"/>
  <c r="H19" i="279"/>
  <c r="E19" i="279"/>
  <c r="D19" i="279"/>
  <c r="F19" i="279" s="1"/>
  <c r="G19" i="279" s="1"/>
  <c r="L18" i="279"/>
  <c r="K18" i="279"/>
  <c r="J18" i="279"/>
  <c r="I18" i="279"/>
  <c r="H18" i="279"/>
  <c r="E18" i="279"/>
  <c r="D18" i="279"/>
  <c r="L17" i="279"/>
  <c r="K17" i="279"/>
  <c r="J17" i="279"/>
  <c r="I17" i="279"/>
  <c r="H17" i="279"/>
  <c r="E17" i="279"/>
  <c r="F17" i="279" s="1"/>
  <c r="G17" i="279" s="1"/>
  <c r="D17" i="279"/>
  <c r="K16" i="279"/>
  <c r="J16" i="279"/>
  <c r="I16" i="279"/>
  <c r="H16" i="279"/>
  <c r="E16" i="279"/>
  <c r="D16" i="279"/>
  <c r="L16" i="279" s="1"/>
  <c r="L15" i="279"/>
  <c r="K15" i="279"/>
  <c r="J15" i="279"/>
  <c r="I15" i="279"/>
  <c r="H15" i="279"/>
  <c r="E15" i="279"/>
  <c r="D15" i="279"/>
  <c r="F15" i="279" s="1"/>
  <c r="G15" i="279" s="1"/>
  <c r="K14" i="279"/>
  <c r="J14" i="279"/>
  <c r="I14" i="279"/>
  <c r="H14" i="279"/>
  <c r="E14" i="279"/>
  <c r="D14" i="279"/>
  <c r="F14" i="279" s="1"/>
  <c r="G14" i="279" s="1"/>
  <c r="L13" i="279"/>
  <c r="K13" i="279"/>
  <c r="J13" i="279"/>
  <c r="I13" i="279"/>
  <c r="H13" i="279"/>
  <c r="E13" i="279"/>
  <c r="D13" i="279"/>
  <c r="E11" i="279"/>
  <c r="J8" i="279"/>
  <c r="F8" i="279"/>
  <c r="H6" i="279"/>
  <c r="J6" i="279" s="1"/>
  <c r="F6" i="279"/>
  <c r="D11" i="279"/>
  <c r="F39" i="279" l="1"/>
  <c r="G39" i="279" s="1"/>
  <c r="F18" i="279"/>
  <c r="G18" i="279" s="1"/>
  <c r="F25" i="279"/>
  <c r="G25" i="279" s="1"/>
  <c r="L26" i="279"/>
  <c r="F34" i="279"/>
  <c r="G34" i="279" s="1"/>
  <c r="L19" i="279"/>
  <c r="L35" i="279"/>
  <c r="F21" i="279"/>
  <c r="G21" i="279" s="1"/>
  <c r="F29" i="279"/>
  <c r="G29" i="279" s="1"/>
  <c r="L30" i="279"/>
  <c r="F13" i="279"/>
  <c r="G13" i="279" s="1"/>
  <c r="L23" i="279"/>
  <c r="L14" i="279"/>
  <c r="F16" i="279"/>
  <c r="G16" i="279" s="1"/>
  <c r="F20" i="279"/>
  <c r="G20" i="279" s="1"/>
  <c r="F24" i="279"/>
  <c r="G24" i="279" s="1"/>
  <c r="F28" i="279"/>
  <c r="G28" i="279" s="1"/>
  <c r="F32" i="279"/>
  <c r="G32" i="279" s="1"/>
  <c r="F38" i="279"/>
  <c r="G38" i="279" s="1"/>
  <c r="H95" i="278"/>
  <c r="G95" i="278"/>
  <c r="H94" i="278"/>
  <c r="G94" i="278"/>
  <c r="K39" i="278"/>
  <c r="J39" i="278"/>
  <c r="I39" i="278"/>
  <c r="H39" i="278"/>
  <c r="E39" i="278"/>
  <c r="F39" i="278" s="1"/>
  <c r="G39" i="278" s="1"/>
  <c r="D39" i="278"/>
  <c r="L39" i="278" s="1"/>
  <c r="K38" i="278"/>
  <c r="J38" i="278"/>
  <c r="I38" i="278"/>
  <c r="H38" i="278"/>
  <c r="E38" i="278"/>
  <c r="D38" i="278"/>
  <c r="L38" i="278" s="1"/>
  <c r="L35" i="278"/>
  <c r="K35" i="278"/>
  <c r="J35" i="278"/>
  <c r="I35" i="278"/>
  <c r="H35" i="278"/>
  <c r="E35" i="278"/>
  <c r="D35" i="278"/>
  <c r="L34" i="278"/>
  <c r="K34" i="278"/>
  <c r="J34" i="278"/>
  <c r="I34" i="278"/>
  <c r="H34" i="278"/>
  <c r="E34" i="278"/>
  <c r="D34" i="278"/>
  <c r="K33" i="278"/>
  <c r="J33" i="278"/>
  <c r="I33" i="278"/>
  <c r="H33" i="278"/>
  <c r="E33" i="278"/>
  <c r="D33" i="278"/>
  <c r="L33" i="278" s="1"/>
  <c r="K32" i="278"/>
  <c r="J32" i="278"/>
  <c r="I32" i="278"/>
  <c r="H32" i="278"/>
  <c r="E32" i="278"/>
  <c r="D32" i="278"/>
  <c r="K31" i="278"/>
  <c r="J31" i="278"/>
  <c r="I31" i="278"/>
  <c r="H31" i="278"/>
  <c r="E31" i="278"/>
  <c r="D31" i="278"/>
  <c r="F31" i="278" s="1"/>
  <c r="G31" i="278" s="1"/>
  <c r="L30" i="278"/>
  <c r="K30" i="278"/>
  <c r="J30" i="278"/>
  <c r="I30" i="278"/>
  <c r="H30" i="278"/>
  <c r="E30" i="278"/>
  <c r="D30" i="278"/>
  <c r="F30" i="278" s="1"/>
  <c r="G30" i="278" s="1"/>
  <c r="K29" i="278"/>
  <c r="J29" i="278"/>
  <c r="I29" i="278"/>
  <c r="H29" i="278"/>
  <c r="E29" i="278"/>
  <c r="F29" i="278" s="1"/>
  <c r="G29" i="278" s="1"/>
  <c r="D29" i="278"/>
  <c r="L29" i="278" s="1"/>
  <c r="K28" i="278"/>
  <c r="J28" i="278"/>
  <c r="I28" i="278"/>
  <c r="H28" i="278"/>
  <c r="E28" i="278"/>
  <c r="D28" i="278"/>
  <c r="F28" i="278" s="1"/>
  <c r="G28" i="278" s="1"/>
  <c r="K27" i="278"/>
  <c r="J27" i="278"/>
  <c r="I27" i="278"/>
  <c r="H27" i="278"/>
  <c r="E27" i="278"/>
  <c r="D27" i="278"/>
  <c r="F27" i="278" s="1"/>
  <c r="G27" i="278" s="1"/>
  <c r="L26" i="278"/>
  <c r="K26" i="278"/>
  <c r="J26" i="278"/>
  <c r="I26" i="278"/>
  <c r="H26" i="278"/>
  <c r="E26" i="278"/>
  <c r="D26" i="278"/>
  <c r="K25" i="278"/>
  <c r="J25" i="278"/>
  <c r="I25" i="278"/>
  <c r="H25" i="278"/>
  <c r="E25" i="278"/>
  <c r="F25" i="278" s="1"/>
  <c r="G25" i="278" s="1"/>
  <c r="D25" i="278"/>
  <c r="L25" i="278" s="1"/>
  <c r="K24" i="278"/>
  <c r="J24" i="278"/>
  <c r="I24" i="278"/>
  <c r="H24" i="278"/>
  <c r="E24" i="278"/>
  <c r="D24" i="278"/>
  <c r="L24" i="278" s="1"/>
  <c r="K23" i="278"/>
  <c r="J23" i="278"/>
  <c r="I23" i="278"/>
  <c r="H23" i="278"/>
  <c r="E23" i="278"/>
  <c r="D23" i="278"/>
  <c r="F23" i="278" s="1"/>
  <c r="G23" i="278" s="1"/>
  <c r="K22" i="278"/>
  <c r="J22" i="278"/>
  <c r="I22" i="278"/>
  <c r="H22" i="278"/>
  <c r="E22" i="278"/>
  <c r="D22" i="278"/>
  <c r="F22" i="278" s="1"/>
  <c r="G22" i="278" s="1"/>
  <c r="K21" i="278"/>
  <c r="J21" i="278"/>
  <c r="I21" i="278"/>
  <c r="H21" i="278"/>
  <c r="E21" i="278"/>
  <c r="F21" i="278" s="1"/>
  <c r="G21" i="278" s="1"/>
  <c r="D21" i="278"/>
  <c r="L21" i="278" s="1"/>
  <c r="K20" i="278"/>
  <c r="J20" i="278"/>
  <c r="I20" i="278"/>
  <c r="H20" i="278"/>
  <c r="E20" i="278"/>
  <c r="D20" i="278"/>
  <c r="F20" i="278" s="1"/>
  <c r="G20" i="278" s="1"/>
  <c r="L19" i="278"/>
  <c r="K19" i="278"/>
  <c r="J19" i="278"/>
  <c r="I19" i="278"/>
  <c r="H19" i="278"/>
  <c r="E19" i="278"/>
  <c r="D19" i="278"/>
  <c r="K18" i="278"/>
  <c r="J18" i="278"/>
  <c r="I18" i="278"/>
  <c r="H18" i="278"/>
  <c r="E18" i="278"/>
  <c r="D18" i="278"/>
  <c r="K17" i="278"/>
  <c r="J17" i="278"/>
  <c r="I17" i="278"/>
  <c r="H17" i="278"/>
  <c r="E17" i="278"/>
  <c r="D17" i="278"/>
  <c r="L17" i="278" s="1"/>
  <c r="K16" i="278"/>
  <c r="J16" i="278"/>
  <c r="I16" i="278"/>
  <c r="H16" i="278"/>
  <c r="E16" i="278"/>
  <c r="D16" i="278"/>
  <c r="L16" i="278" s="1"/>
  <c r="L15" i="278"/>
  <c r="K15" i="278"/>
  <c r="J15" i="278"/>
  <c r="I15" i="278"/>
  <c r="H15" i="278"/>
  <c r="E15" i="278"/>
  <c r="D15" i="278"/>
  <c r="F15" i="278" s="1"/>
  <c r="G15" i="278" s="1"/>
  <c r="K14" i="278"/>
  <c r="J14" i="278"/>
  <c r="I14" i="278"/>
  <c r="H14" i="278"/>
  <c r="E14" i="278"/>
  <c r="D14" i="278"/>
  <c r="K13" i="278"/>
  <c r="J13" i="278"/>
  <c r="I13" i="278"/>
  <c r="H13" i="278"/>
  <c r="E13" i="278"/>
  <c r="F13" i="278" s="1"/>
  <c r="G13" i="278" s="1"/>
  <c r="D13" i="278"/>
  <c r="L13" i="278" s="1"/>
  <c r="E11" i="278"/>
  <c r="J8" i="278"/>
  <c r="F8" i="278"/>
  <c r="H6" i="278"/>
  <c r="J6" i="278" s="1"/>
  <c r="F6" i="278"/>
  <c r="D11" i="278"/>
  <c r="F14" i="278" l="1"/>
  <c r="G14" i="278" s="1"/>
  <c r="F18" i="278"/>
  <c r="G18" i="278" s="1"/>
  <c r="L23" i="278"/>
  <c r="F33" i="278"/>
  <c r="G33" i="278" s="1"/>
  <c r="F35" i="278"/>
  <c r="G35" i="278" s="1"/>
  <c r="L14" i="278"/>
  <c r="F26" i="278"/>
  <c r="G26" i="278" s="1"/>
  <c r="L27" i="278"/>
  <c r="L18" i="278"/>
  <c r="F17" i="278"/>
  <c r="G17" i="278" s="1"/>
  <c r="F19" i="278"/>
  <c r="G19" i="278" s="1"/>
  <c r="L31" i="278"/>
  <c r="L22" i="278"/>
  <c r="F32" i="278"/>
  <c r="G32" i="278" s="1"/>
  <c r="F34" i="278"/>
  <c r="G34" i="278" s="1"/>
  <c r="F16" i="278"/>
  <c r="G16" i="278" s="1"/>
  <c r="F38" i="278"/>
  <c r="G38" i="278" s="1"/>
  <c r="F24" i="278"/>
  <c r="G24" i="278" s="1"/>
  <c r="L20" i="278"/>
  <c r="L28" i="278"/>
  <c r="L32" i="278"/>
  <c r="H95" i="277"/>
  <c r="G95" i="277"/>
  <c r="H94" i="277"/>
  <c r="G94" i="277"/>
  <c r="K39" i="277"/>
  <c r="J39" i="277"/>
  <c r="I39" i="277"/>
  <c r="H39" i="277"/>
  <c r="E39" i="277"/>
  <c r="F39" i="277" s="1"/>
  <c r="G39" i="277" s="1"/>
  <c r="D39" i="277"/>
  <c r="L39" i="277" s="1"/>
  <c r="K38" i="277"/>
  <c r="J38" i="277"/>
  <c r="I38" i="277"/>
  <c r="H38" i="277"/>
  <c r="E38" i="277"/>
  <c r="D38" i="277"/>
  <c r="L38" i="277" s="1"/>
  <c r="K35" i="277"/>
  <c r="J35" i="277"/>
  <c r="I35" i="277"/>
  <c r="H35" i="277"/>
  <c r="E35" i="277"/>
  <c r="D35" i="277"/>
  <c r="F35" i="277" s="1"/>
  <c r="G35" i="277" s="1"/>
  <c r="L34" i="277"/>
  <c r="K34" i="277"/>
  <c r="J34" i="277"/>
  <c r="I34" i="277"/>
  <c r="H34" i="277"/>
  <c r="E34" i="277"/>
  <c r="D34" i="277"/>
  <c r="F34" i="277" s="1"/>
  <c r="G34" i="277" s="1"/>
  <c r="K33" i="277"/>
  <c r="J33" i="277"/>
  <c r="I33" i="277"/>
  <c r="H33" i="277"/>
  <c r="E33" i="277"/>
  <c r="D33" i="277"/>
  <c r="L33" i="277" s="1"/>
  <c r="L32" i="277"/>
  <c r="K32" i="277"/>
  <c r="J32" i="277"/>
  <c r="I32" i="277"/>
  <c r="H32" i="277"/>
  <c r="E32" i="277"/>
  <c r="D32" i="277"/>
  <c r="L31" i="277"/>
  <c r="K31" i="277"/>
  <c r="J31" i="277"/>
  <c r="I31" i="277"/>
  <c r="H31" i="277"/>
  <c r="E31" i="277"/>
  <c r="D31" i="277"/>
  <c r="K30" i="277"/>
  <c r="J30" i="277"/>
  <c r="I30" i="277"/>
  <c r="H30" i="277"/>
  <c r="F30" i="277"/>
  <c r="G30" i="277" s="1"/>
  <c r="E30" i="277"/>
  <c r="D30" i="277"/>
  <c r="L30" i="277" s="1"/>
  <c r="K29" i="277"/>
  <c r="J29" i="277"/>
  <c r="I29" i="277"/>
  <c r="H29" i="277"/>
  <c r="E29" i="277"/>
  <c r="D29" i="277"/>
  <c r="L29" i="277" s="1"/>
  <c r="K28" i="277"/>
  <c r="J28" i="277"/>
  <c r="I28" i="277"/>
  <c r="H28" i="277"/>
  <c r="E28" i="277"/>
  <c r="D28" i="277"/>
  <c r="F28" i="277" s="1"/>
  <c r="G28" i="277" s="1"/>
  <c r="K27" i="277"/>
  <c r="J27" i="277"/>
  <c r="I27" i="277"/>
  <c r="H27" i="277"/>
  <c r="E27" i="277"/>
  <c r="D27" i="277"/>
  <c r="F27" i="277" s="1"/>
  <c r="G27" i="277" s="1"/>
  <c r="L26" i="277"/>
  <c r="K26" i="277"/>
  <c r="J26" i="277"/>
  <c r="I26" i="277"/>
  <c r="H26" i="277"/>
  <c r="E26" i="277"/>
  <c r="F26" i="277" s="1"/>
  <c r="G26" i="277" s="1"/>
  <c r="D26" i="277"/>
  <c r="K25" i="277"/>
  <c r="J25" i="277"/>
  <c r="I25" i="277"/>
  <c r="H25" i="277"/>
  <c r="E25" i="277"/>
  <c r="D25" i="277"/>
  <c r="L25" i="277" s="1"/>
  <c r="L24" i="277"/>
  <c r="K24" i="277"/>
  <c r="J24" i="277"/>
  <c r="I24" i="277"/>
  <c r="H24" i="277"/>
  <c r="E24" i="277"/>
  <c r="D24" i="277"/>
  <c r="F24" i="277" s="1"/>
  <c r="G24" i="277" s="1"/>
  <c r="K23" i="277"/>
  <c r="J23" i="277"/>
  <c r="I23" i="277"/>
  <c r="H23" i="277"/>
  <c r="E23" i="277"/>
  <c r="D23" i="277"/>
  <c r="F23" i="277" s="1"/>
  <c r="G23" i="277" s="1"/>
  <c r="L22" i="277"/>
  <c r="K22" i="277"/>
  <c r="J22" i="277"/>
  <c r="I22" i="277"/>
  <c r="H22" i="277"/>
  <c r="E22" i="277"/>
  <c r="D22" i="277"/>
  <c r="F22" i="277" s="1"/>
  <c r="G22" i="277" s="1"/>
  <c r="K21" i="277"/>
  <c r="J21" i="277"/>
  <c r="I21" i="277"/>
  <c r="H21" i="277"/>
  <c r="E21" i="277"/>
  <c r="D21" i="277"/>
  <c r="L21" i="277" s="1"/>
  <c r="L20" i="277"/>
  <c r="K20" i="277"/>
  <c r="J20" i="277"/>
  <c r="I20" i="277"/>
  <c r="H20" i="277"/>
  <c r="E20" i="277"/>
  <c r="D20" i="277"/>
  <c r="L19" i="277"/>
  <c r="K19" i="277"/>
  <c r="J19" i="277"/>
  <c r="I19" i="277"/>
  <c r="H19" i="277"/>
  <c r="E19" i="277"/>
  <c r="D19" i="277"/>
  <c r="K18" i="277"/>
  <c r="J18" i="277"/>
  <c r="I18" i="277"/>
  <c r="H18" i="277"/>
  <c r="F18" i="277"/>
  <c r="G18" i="277" s="1"/>
  <c r="E18" i="277"/>
  <c r="D18" i="277"/>
  <c r="L18" i="277" s="1"/>
  <c r="K17" i="277"/>
  <c r="J17" i="277"/>
  <c r="I17" i="277"/>
  <c r="H17" i="277"/>
  <c r="E17" i="277"/>
  <c r="D17" i="277"/>
  <c r="L17" i="277" s="1"/>
  <c r="K16" i="277"/>
  <c r="J16" i="277"/>
  <c r="I16" i="277"/>
  <c r="H16" i="277"/>
  <c r="E16" i="277"/>
  <c r="D16" i="277"/>
  <c r="F16" i="277" s="1"/>
  <c r="G16" i="277" s="1"/>
  <c r="K15" i="277"/>
  <c r="J15" i="277"/>
  <c r="I15" i="277"/>
  <c r="H15" i="277"/>
  <c r="E15" i="277"/>
  <c r="D15" i="277"/>
  <c r="F15" i="277" s="1"/>
  <c r="G15" i="277" s="1"/>
  <c r="L14" i="277"/>
  <c r="K14" i="277"/>
  <c r="J14" i="277"/>
  <c r="I14" i="277"/>
  <c r="H14" i="277"/>
  <c r="E14" i="277"/>
  <c r="F14" i="277" s="1"/>
  <c r="G14" i="277" s="1"/>
  <c r="D14" i="277"/>
  <c r="K13" i="277"/>
  <c r="J13" i="277"/>
  <c r="I13" i="277"/>
  <c r="H13" i="277"/>
  <c r="E13" i="277"/>
  <c r="D13" i="277"/>
  <c r="L13" i="277" s="1"/>
  <c r="E11" i="277"/>
  <c r="J8" i="277"/>
  <c r="F8" i="277"/>
  <c r="H6" i="277"/>
  <c r="J6" i="277" s="1"/>
  <c r="F6" i="277"/>
  <c r="D11" i="277"/>
  <c r="L15" i="277" l="1"/>
  <c r="L27" i="277"/>
  <c r="F20" i="277"/>
  <c r="G20" i="277" s="1"/>
  <c r="F32" i="277"/>
  <c r="G32" i="277" s="1"/>
  <c r="L23" i="277"/>
  <c r="L35" i="277"/>
  <c r="L28" i="277"/>
  <c r="L16" i="277"/>
  <c r="F19" i="277"/>
  <c r="G19" i="277" s="1"/>
  <c r="F31" i="277"/>
  <c r="G31" i="277" s="1"/>
  <c r="F38" i="277"/>
  <c r="G38" i="277" s="1"/>
  <c r="F13" i="277"/>
  <c r="G13" i="277" s="1"/>
  <c r="F17" i="277"/>
  <c r="G17" i="277" s="1"/>
  <c r="F21" i="277"/>
  <c r="G21" i="277" s="1"/>
  <c r="F25" i="277"/>
  <c r="G25" i="277" s="1"/>
  <c r="F29" i="277"/>
  <c r="G29" i="277" s="1"/>
  <c r="F33" i="277"/>
  <c r="G33" i="277" s="1"/>
  <c r="H95" i="276"/>
  <c r="G95" i="276"/>
  <c r="H94" i="276"/>
  <c r="G94" i="276"/>
  <c r="K39" i="276"/>
  <c r="J39" i="276"/>
  <c r="I39" i="276"/>
  <c r="H39" i="276"/>
  <c r="E39" i="276"/>
  <c r="D39" i="276"/>
  <c r="L39" i="276" s="1"/>
  <c r="K38" i="276"/>
  <c r="J38" i="276"/>
  <c r="I38" i="276"/>
  <c r="H38" i="276"/>
  <c r="E38" i="276"/>
  <c r="D38" i="276"/>
  <c r="L38" i="276" s="1"/>
  <c r="L35" i="276"/>
  <c r="K35" i="276"/>
  <c r="J35" i="276"/>
  <c r="I35" i="276"/>
  <c r="H35" i="276"/>
  <c r="E35" i="276"/>
  <c r="D35" i="276"/>
  <c r="F35" i="276" s="1"/>
  <c r="G35" i="276" s="1"/>
  <c r="K34" i="276"/>
  <c r="J34" i="276"/>
  <c r="I34" i="276"/>
  <c r="H34" i="276"/>
  <c r="E34" i="276"/>
  <c r="D34" i="276"/>
  <c r="L34" i="276" s="1"/>
  <c r="K33" i="276"/>
  <c r="J33" i="276"/>
  <c r="I33" i="276"/>
  <c r="H33" i="276"/>
  <c r="E33" i="276"/>
  <c r="F33" i="276" s="1"/>
  <c r="G33" i="276" s="1"/>
  <c r="D33" i="276"/>
  <c r="L33" i="276" s="1"/>
  <c r="K32" i="276"/>
  <c r="J32" i="276"/>
  <c r="I32" i="276"/>
  <c r="H32" i="276"/>
  <c r="E32" i="276"/>
  <c r="D32" i="276"/>
  <c r="L32" i="276" s="1"/>
  <c r="K31" i="276"/>
  <c r="J31" i="276"/>
  <c r="I31" i="276"/>
  <c r="H31" i="276"/>
  <c r="E31" i="276"/>
  <c r="D31" i="276"/>
  <c r="F31" i="276" s="1"/>
  <c r="G31" i="276" s="1"/>
  <c r="L30" i="276"/>
  <c r="K30" i="276"/>
  <c r="J30" i="276"/>
  <c r="I30" i="276"/>
  <c r="H30" i="276"/>
  <c r="E30" i="276"/>
  <c r="D30" i="276"/>
  <c r="F30" i="276" s="1"/>
  <c r="G30" i="276" s="1"/>
  <c r="K29" i="276"/>
  <c r="J29" i="276"/>
  <c r="I29" i="276"/>
  <c r="H29" i="276"/>
  <c r="E29" i="276"/>
  <c r="D29" i="276"/>
  <c r="L29" i="276" s="1"/>
  <c r="K28" i="276"/>
  <c r="J28" i="276"/>
  <c r="I28" i="276"/>
  <c r="H28" i="276"/>
  <c r="E28" i="276"/>
  <c r="D28" i="276"/>
  <c r="L28" i="276" s="1"/>
  <c r="K27" i="276"/>
  <c r="J27" i="276"/>
  <c r="I27" i="276"/>
  <c r="H27" i="276"/>
  <c r="E27" i="276"/>
  <c r="D27" i="276"/>
  <c r="F27" i="276" s="1"/>
  <c r="G27" i="276" s="1"/>
  <c r="L26" i="276"/>
  <c r="K26" i="276"/>
  <c r="J26" i="276"/>
  <c r="I26" i="276"/>
  <c r="H26" i="276"/>
  <c r="F26" i="276"/>
  <c r="G26" i="276" s="1"/>
  <c r="E26" i="276"/>
  <c r="D26" i="276"/>
  <c r="K25" i="276"/>
  <c r="J25" i="276"/>
  <c r="I25" i="276"/>
  <c r="H25" i="276"/>
  <c r="E25" i="276"/>
  <c r="D25" i="276"/>
  <c r="L25" i="276" s="1"/>
  <c r="K24" i="276"/>
  <c r="J24" i="276"/>
  <c r="I24" i="276"/>
  <c r="H24" i="276"/>
  <c r="E24" i="276"/>
  <c r="D24" i="276"/>
  <c r="L24" i="276" s="1"/>
  <c r="L23" i="276"/>
  <c r="K23" i="276"/>
  <c r="J23" i="276"/>
  <c r="I23" i="276"/>
  <c r="H23" i="276"/>
  <c r="E23" i="276"/>
  <c r="D23" i="276"/>
  <c r="K22" i="276"/>
  <c r="J22" i="276"/>
  <c r="I22" i="276"/>
  <c r="H22" i="276"/>
  <c r="E22" i="276"/>
  <c r="D22" i="276"/>
  <c r="L22" i="276" s="1"/>
  <c r="K21" i="276"/>
  <c r="J21" i="276"/>
  <c r="I21" i="276"/>
  <c r="H21" i="276"/>
  <c r="E21" i="276"/>
  <c r="D21" i="276"/>
  <c r="L21" i="276" s="1"/>
  <c r="K20" i="276"/>
  <c r="J20" i="276"/>
  <c r="I20" i="276"/>
  <c r="H20" i="276"/>
  <c r="E20" i="276"/>
  <c r="D20" i="276"/>
  <c r="L20" i="276" s="1"/>
  <c r="L19" i="276"/>
  <c r="K19" i="276"/>
  <c r="J19" i="276"/>
  <c r="I19" i="276"/>
  <c r="H19" i="276"/>
  <c r="E19" i="276"/>
  <c r="D19" i="276"/>
  <c r="F19" i="276" s="1"/>
  <c r="G19" i="276" s="1"/>
  <c r="K18" i="276"/>
  <c r="J18" i="276"/>
  <c r="I18" i="276"/>
  <c r="H18" i="276"/>
  <c r="E18" i="276"/>
  <c r="D18" i="276"/>
  <c r="L18" i="276" s="1"/>
  <c r="K17" i="276"/>
  <c r="J17" i="276"/>
  <c r="I17" i="276"/>
  <c r="H17" i="276"/>
  <c r="E17" i="276"/>
  <c r="F17" i="276" s="1"/>
  <c r="G17" i="276" s="1"/>
  <c r="D17" i="276"/>
  <c r="L17" i="276" s="1"/>
  <c r="K16" i="276"/>
  <c r="J16" i="276"/>
  <c r="I16" i="276"/>
  <c r="H16" i="276"/>
  <c r="E16" i="276"/>
  <c r="D16" i="276"/>
  <c r="L16" i="276" s="1"/>
  <c r="K15" i="276"/>
  <c r="J15" i="276"/>
  <c r="I15" i="276"/>
  <c r="H15" i="276"/>
  <c r="E15" i="276"/>
  <c r="D15" i="276"/>
  <c r="F15" i="276" s="1"/>
  <c r="G15" i="276" s="1"/>
  <c r="L14" i="276"/>
  <c r="K14" i="276"/>
  <c r="J14" i="276"/>
  <c r="I14" i="276"/>
  <c r="H14" i="276"/>
  <c r="E14" i="276"/>
  <c r="D14" i="276"/>
  <c r="F14" i="276" s="1"/>
  <c r="G14" i="276" s="1"/>
  <c r="K13" i="276"/>
  <c r="J13" i="276"/>
  <c r="I13" i="276"/>
  <c r="H13" i="276"/>
  <c r="E13" i="276"/>
  <c r="D13" i="276"/>
  <c r="L13" i="276" s="1"/>
  <c r="E11" i="276"/>
  <c r="J8" i="276"/>
  <c r="F8" i="276"/>
  <c r="H6" i="276"/>
  <c r="J6" i="276" s="1"/>
  <c r="F6" i="276"/>
  <c r="D11" i="276"/>
  <c r="F25" i="276" l="1"/>
  <c r="G25" i="276" s="1"/>
  <c r="F34" i="276"/>
  <c r="G34" i="276" s="1"/>
  <c r="F13" i="276"/>
  <c r="G13" i="276" s="1"/>
  <c r="F29" i="276"/>
  <c r="G29" i="276" s="1"/>
  <c r="F18" i="276"/>
  <c r="G18" i="276" s="1"/>
  <c r="F22" i="276"/>
  <c r="G22" i="276" s="1"/>
  <c r="F21" i="276"/>
  <c r="G21" i="276" s="1"/>
  <c r="F39" i="276"/>
  <c r="G39" i="276" s="1"/>
  <c r="L27" i="276"/>
  <c r="L15" i="276"/>
  <c r="F23" i="276"/>
  <c r="G23" i="276" s="1"/>
  <c r="L31" i="276"/>
  <c r="F20" i="276"/>
  <c r="G20" i="276" s="1"/>
  <c r="F24" i="276"/>
  <c r="G24" i="276" s="1"/>
  <c r="F28" i="276"/>
  <c r="G28" i="276" s="1"/>
  <c r="F32" i="276"/>
  <c r="G32" i="276" s="1"/>
  <c r="F38" i="276"/>
  <c r="G38" i="276" s="1"/>
  <c r="F16" i="276"/>
  <c r="G16" i="276" s="1"/>
  <c r="H95" i="275"/>
  <c r="G95" i="275"/>
  <c r="H94" i="275"/>
  <c r="G94" i="275"/>
  <c r="L39" i="275"/>
  <c r="K39" i="275"/>
  <c r="J39" i="275"/>
  <c r="I39" i="275"/>
  <c r="H39" i="275"/>
  <c r="E39" i="275"/>
  <c r="D39" i="275"/>
  <c r="K38" i="275"/>
  <c r="J38" i="275"/>
  <c r="I38" i="275"/>
  <c r="H38" i="275"/>
  <c r="E38" i="275"/>
  <c r="D38" i="275"/>
  <c r="L38" i="275" s="1"/>
  <c r="L35" i="275"/>
  <c r="K35" i="275"/>
  <c r="J35" i="275"/>
  <c r="I35" i="275"/>
  <c r="H35" i="275"/>
  <c r="E35" i="275"/>
  <c r="D35" i="275"/>
  <c r="L34" i="275"/>
  <c r="K34" i="275"/>
  <c r="J34" i="275"/>
  <c r="I34" i="275"/>
  <c r="H34" i="275"/>
  <c r="E34" i="275"/>
  <c r="D34" i="275"/>
  <c r="K33" i="275"/>
  <c r="J33" i="275"/>
  <c r="I33" i="275"/>
  <c r="H33" i="275"/>
  <c r="E33" i="275"/>
  <c r="D33" i="275"/>
  <c r="L33" i="275" s="1"/>
  <c r="K32" i="275"/>
  <c r="J32" i="275"/>
  <c r="I32" i="275"/>
  <c r="H32" i="275"/>
  <c r="E32" i="275"/>
  <c r="D32" i="275"/>
  <c r="L32" i="275" s="1"/>
  <c r="K31" i="275"/>
  <c r="J31" i="275"/>
  <c r="I31" i="275"/>
  <c r="H31" i="275"/>
  <c r="E31" i="275"/>
  <c r="D31" i="275"/>
  <c r="F31" i="275" s="1"/>
  <c r="G31" i="275" s="1"/>
  <c r="L30" i="275"/>
  <c r="K30" i="275"/>
  <c r="J30" i="275"/>
  <c r="I30" i="275"/>
  <c r="H30" i="275"/>
  <c r="E30" i="275"/>
  <c r="D30" i="275"/>
  <c r="F30" i="275" s="1"/>
  <c r="G30" i="275" s="1"/>
  <c r="K29" i="275"/>
  <c r="J29" i="275"/>
  <c r="I29" i="275"/>
  <c r="H29" i="275"/>
  <c r="E29" i="275"/>
  <c r="D29" i="275"/>
  <c r="L29" i="275" s="1"/>
  <c r="K28" i="275"/>
  <c r="J28" i="275"/>
  <c r="I28" i="275"/>
  <c r="H28" i="275"/>
  <c r="E28" i="275"/>
  <c r="D28" i="275"/>
  <c r="L28" i="275" s="1"/>
  <c r="K27" i="275"/>
  <c r="J27" i="275"/>
  <c r="I27" i="275"/>
  <c r="H27" i="275"/>
  <c r="E27" i="275"/>
  <c r="D27" i="275"/>
  <c r="F27" i="275" s="1"/>
  <c r="G27" i="275" s="1"/>
  <c r="L26" i="275"/>
  <c r="K26" i="275"/>
  <c r="J26" i="275"/>
  <c r="I26" i="275"/>
  <c r="H26" i="275"/>
  <c r="E26" i="275"/>
  <c r="D26" i="275"/>
  <c r="F26" i="275" s="1"/>
  <c r="G26" i="275" s="1"/>
  <c r="K25" i="275"/>
  <c r="J25" i="275"/>
  <c r="I25" i="275"/>
  <c r="H25" i="275"/>
  <c r="E25" i="275"/>
  <c r="D25" i="275"/>
  <c r="L25" i="275" s="1"/>
  <c r="K24" i="275"/>
  <c r="J24" i="275"/>
  <c r="I24" i="275"/>
  <c r="H24" i="275"/>
  <c r="E24" i="275"/>
  <c r="D24" i="275"/>
  <c r="L24" i="275" s="1"/>
  <c r="K23" i="275"/>
  <c r="J23" i="275"/>
  <c r="I23" i="275"/>
  <c r="H23" i="275"/>
  <c r="E23" i="275"/>
  <c r="D23" i="275"/>
  <c r="F23" i="275" s="1"/>
  <c r="G23" i="275" s="1"/>
  <c r="K22" i="275"/>
  <c r="J22" i="275"/>
  <c r="I22" i="275"/>
  <c r="H22" i="275"/>
  <c r="E22" i="275"/>
  <c r="D22" i="275"/>
  <c r="F22" i="275" s="1"/>
  <c r="G22" i="275" s="1"/>
  <c r="K21" i="275"/>
  <c r="J21" i="275"/>
  <c r="I21" i="275"/>
  <c r="H21" i="275"/>
  <c r="E21" i="275"/>
  <c r="D21" i="275"/>
  <c r="L21" i="275" s="1"/>
  <c r="K20" i="275"/>
  <c r="J20" i="275"/>
  <c r="I20" i="275"/>
  <c r="H20" i="275"/>
  <c r="E20" i="275"/>
  <c r="D20" i="275"/>
  <c r="L20" i="275" s="1"/>
  <c r="L19" i="275"/>
  <c r="K19" i="275"/>
  <c r="J19" i="275"/>
  <c r="I19" i="275"/>
  <c r="H19" i="275"/>
  <c r="E19" i="275"/>
  <c r="D19" i="275"/>
  <c r="K18" i="275"/>
  <c r="J18" i="275"/>
  <c r="I18" i="275"/>
  <c r="H18" i="275"/>
  <c r="E18" i="275"/>
  <c r="D18" i="275"/>
  <c r="F18" i="275" s="1"/>
  <c r="G18" i="275" s="1"/>
  <c r="K17" i="275"/>
  <c r="J17" i="275"/>
  <c r="I17" i="275"/>
  <c r="H17" i="275"/>
  <c r="E17" i="275"/>
  <c r="D17" i="275"/>
  <c r="L17" i="275" s="1"/>
  <c r="K16" i="275"/>
  <c r="J16" i="275"/>
  <c r="I16" i="275"/>
  <c r="H16" i="275"/>
  <c r="E16" i="275"/>
  <c r="D16" i="275"/>
  <c r="L16" i="275" s="1"/>
  <c r="L15" i="275"/>
  <c r="K15" i="275"/>
  <c r="J15" i="275"/>
  <c r="I15" i="275"/>
  <c r="H15" i="275"/>
  <c r="E15" i="275"/>
  <c r="D15" i="275"/>
  <c r="F15" i="275" s="1"/>
  <c r="G15" i="275" s="1"/>
  <c r="K14" i="275"/>
  <c r="J14" i="275"/>
  <c r="I14" i="275"/>
  <c r="H14" i="275"/>
  <c r="E14" i="275"/>
  <c r="D14" i="275"/>
  <c r="F14" i="275" s="1"/>
  <c r="G14" i="275" s="1"/>
  <c r="K13" i="275"/>
  <c r="J13" i="275"/>
  <c r="I13" i="275"/>
  <c r="H13" i="275"/>
  <c r="E13" i="275"/>
  <c r="D13" i="275"/>
  <c r="L13" i="275" s="1"/>
  <c r="E11" i="275"/>
  <c r="J8" i="275"/>
  <c r="F8" i="275"/>
  <c r="H6" i="275"/>
  <c r="J6" i="275" s="1"/>
  <c r="F6" i="275"/>
  <c r="D11" i="275"/>
  <c r="L23" i="275" l="1"/>
  <c r="F35" i="275"/>
  <c r="G35" i="275" s="1"/>
  <c r="L27" i="275"/>
  <c r="F39" i="275"/>
  <c r="G39" i="275" s="1"/>
  <c r="L18" i="275"/>
  <c r="F19" i="275"/>
  <c r="G19" i="275" s="1"/>
  <c r="L31" i="275"/>
  <c r="L14" i="275"/>
  <c r="L22" i="275"/>
  <c r="F34" i="275"/>
  <c r="G34" i="275" s="1"/>
  <c r="F25" i="275"/>
  <c r="G25" i="275" s="1"/>
  <c r="F29" i="275"/>
  <c r="G29" i="275" s="1"/>
  <c r="F33" i="275"/>
  <c r="G33" i="275" s="1"/>
  <c r="F13" i="275"/>
  <c r="G13" i="275" s="1"/>
  <c r="F17" i="275"/>
  <c r="G17" i="275" s="1"/>
  <c r="F21" i="275"/>
  <c r="G21" i="275" s="1"/>
  <c r="F16" i="275"/>
  <c r="G16" i="275" s="1"/>
  <c r="F20" i="275"/>
  <c r="G20" i="275" s="1"/>
  <c r="F24" i="275"/>
  <c r="G24" i="275" s="1"/>
  <c r="F28" i="275"/>
  <c r="G28" i="275" s="1"/>
  <c r="F32" i="275"/>
  <c r="G32" i="275" s="1"/>
  <c r="F38" i="275"/>
  <c r="G38" i="275" s="1"/>
  <c r="J7" i="78"/>
  <c r="J6" i="78"/>
  <c r="J5" i="78"/>
  <c r="J4" i="78"/>
  <c r="J3" i="78"/>
  <c r="J13" i="78"/>
  <c r="J12" i="78"/>
  <c r="J11" i="78"/>
  <c r="J10" i="78"/>
  <c r="J9" i="78"/>
  <c r="G25" i="81" l="1"/>
  <c r="E25" i="81"/>
  <c r="G24" i="81"/>
  <c r="E24" i="81"/>
  <c r="G23" i="81"/>
  <c r="E23" i="81"/>
  <c r="G22" i="81"/>
  <c r="E22" i="81"/>
  <c r="G21" i="81"/>
  <c r="E21" i="81"/>
  <c r="G20" i="81"/>
  <c r="E20" i="81"/>
  <c r="G19" i="81"/>
  <c r="E19" i="81"/>
  <c r="G18" i="81"/>
  <c r="E18" i="81"/>
  <c r="G17" i="81"/>
  <c r="E17" i="81"/>
  <c r="G16" i="81"/>
  <c r="E16" i="81"/>
  <c r="G15" i="81"/>
  <c r="E15" i="81"/>
  <c r="G14" i="81"/>
  <c r="E14" i="81"/>
  <c r="G13" i="81"/>
  <c r="E13" i="81"/>
  <c r="G12" i="81"/>
  <c r="E12" i="81"/>
  <c r="G11" i="81"/>
  <c r="E11" i="81"/>
  <c r="G10" i="81"/>
  <c r="E10" i="81"/>
  <c r="G9" i="81"/>
  <c r="E9" i="81"/>
  <c r="G8" i="81"/>
  <c r="E8" i="81"/>
  <c r="G7" i="81"/>
  <c r="E7" i="81"/>
  <c r="G6" i="81"/>
  <c r="E6" i="81"/>
  <c r="G5" i="81"/>
  <c r="E5" i="81"/>
  <c r="G4" i="81"/>
  <c r="E4" i="81"/>
  <c r="G3" i="81"/>
  <c r="E3" i="81"/>
  <c r="K39" i="80"/>
  <c r="J39" i="80"/>
  <c r="I39" i="80"/>
  <c r="H39" i="80"/>
  <c r="E39" i="80"/>
  <c r="D39" i="80"/>
  <c r="L39" i="80" s="1"/>
  <c r="K38" i="80"/>
  <c r="J38" i="80"/>
  <c r="I38" i="80"/>
  <c r="H38" i="80"/>
  <c r="E38" i="80"/>
  <c r="D38" i="80"/>
  <c r="L38" i="80" s="1"/>
  <c r="K35" i="80"/>
  <c r="J35" i="80"/>
  <c r="I35" i="80"/>
  <c r="H35" i="80"/>
  <c r="E35" i="80"/>
  <c r="D35" i="80"/>
  <c r="L35" i="80" s="1"/>
  <c r="K34" i="80"/>
  <c r="J34" i="80"/>
  <c r="I34" i="80"/>
  <c r="H34" i="80"/>
  <c r="E34" i="80"/>
  <c r="D34" i="80"/>
  <c r="K33" i="80"/>
  <c r="J33" i="80"/>
  <c r="I33" i="80"/>
  <c r="H33" i="80"/>
  <c r="E33" i="80"/>
  <c r="D33" i="80"/>
  <c r="L33" i="80" s="1"/>
  <c r="K32" i="80"/>
  <c r="J32" i="80"/>
  <c r="I32" i="80"/>
  <c r="H32" i="80"/>
  <c r="E32" i="80"/>
  <c r="D32" i="80"/>
  <c r="K31" i="80"/>
  <c r="J31" i="80"/>
  <c r="I31" i="80"/>
  <c r="H31" i="80"/>
  <c r="E31" i="80"/>
  <c r="D31" i="80"/>
  <c r="K30" i="80"/>
  <c r="J30" i="80"/>
  <c r="I30" i="80"/>
  <c r="H30" i="80"/>
  <c r="E30" i="80"/>
  <c r="D30" i="80"/>
  <c r="K29" i="80"/>
  <c r="J29" i="80"/>
  <c r="I29" i="80"/>
  <c r="H29" i="80"/>
  <c r="E29" i="80"/>
  <c r="D29" i="80"/>
  <c r="L29" i="80" s="1"/>
  <c r="K28" i="80"/>
  <c r="J28" i="80"/>
  <c r="I28" i="80"/>
  <c r="H28" i="80"/>
  <c r="E28" i="80"/>
  <c r="D28" i="80"/>
  <c r="L28" i="80" s="1"/>
  <c r="K27" i="80"/>
  <c r="J27" i="80"/>
  <c r="I27" i="80"/>
  <c r="H27" i="80"/>
  <c r="E27" i="80"/>
  <c r="D27" i="80"/>
  <c r="K26" i="80"/>
  <c r="J26" i="80"/>
  <c r="I26" i="80"/>
  <c r="H26" i="80"/>
  <c r="E26" i="80"/>
  <c r="D26" i="80"/>
  <c r="K25" i="80"/>
  <c r="J25" i="80"/>
  <c r="I25" i="80"/>
  <c r="H25" i="80"/>
  <c r="E25" i="80"/>
  <c r="D25" i="80"/>
  <c r="L25" i="80" s="1"/>
  <c r="K24" i="80"/>
  <c r="J24" i="80"/>
  <c r="I24" i="80"/>
  <c r="H24" i="80"/>
  <c r="E24" i="80"/>
  <c r="D24" i="80"/>
  <c r="K23" i="80"/>
  <c r="J23" i="80"/>
  <c r="I23" i="80"/>
  <c r="H23" i="80"/>
  <c r="E23" i="80"/>
  <c r="D23" i="80"/>
  <c r="K22" i="80"/>
  <c r="J22" i="80"/>
  <c r="I22" i="80"/>
  <c r="H22" i="80"/>
  <c r="E22" i="80"/>
  <c r="D22" i="80"/>
  <c r="K21" i="80"/>
  <c r="J21" i="80"/>
  <c r="I21" i="80"/>
  <c r="H21" i="80"/>
  <c r="E21" i="80"/>
  <c r="D21" i="80"/>
  <c r="L21" i="80" s="1"/>
  <c r="K20" i="80"/>
  <c r="J20" i="80"/>
  <c r="I20" i="80"/>
  <c r="H20" i="80"/>
  <c r="E20" i="80"/>
  <c r="D20" i="80"/>
  <c r="L20" i="80" s="1"/>
  <c r="K19" i="80"/>
  <c r="J19" i="80"/>
  <c r="I19" i="80"/>
  <c r="H19" i="80"/>
  <c r="E19" i="80"/>
  <c r="D19" i="80"/>
  <c r="L19" i="80" s="1"/>
  <c r="K18" i="80"/>
  <c r="J18" i="80"/>
  <c r="I18" i="80"/>
  <c r="H18" i="80"/>
  <c r="E18" i="80"/>
  <c r="D18" i="80"/>
  <c r="L18" i="80" s="1"/>
  <c r="K17" i="80"/>
  <c r="J17" i="80"/>
  <c r="I17" i="80"/>
  <c r="H17" i="80"/>
  <c r="E17" i="80"/>
  <c r="D17" i="80"/>
  <c r="L17" i="80" s="1"/>
  <c r="K16" i="80"/>
  <c r="J16" i="80"/>
  <c r="I16" i="80"/>
  <c r="H16" i="80"/>
  <c r="E16" i="80"/>
  <c r="D16" i="80"/>
  <c r="L16" i="80" s="1"/>
  <c r="K15" i="80"/>
  <c r="J15" i="80"/>
  <c r="I15" i="80"/>
  <c r="H15" i="80"/>
  <c r="E15" i="80"/>
  <c r="D15" i="80"/>
  <c r="L15" i="80" s="1"/>
  <c r="K14" i="80"/>
  <c r="J14" i="80"/>
  <c r="I14" i="80"/>
  <c r="H14" i="80"/>
  <c r="E14" i="80"/>
  <c r="D14" i="80"/>
  <c r="K13" i="80"/>
  <c r="J13" i="80"/>
  <c r="I13" i="80"/>
  <c r="H13" i="80"/>
  <c r="E13" i="80"/>
  <c r="D13" i="80"/>
  <c r="L13" i="80" s="1"/>
  <c r="E11" i="80"/>
  <c r="J8" i="80"/>
  <c r="J6" i="80"/>
  <c r="F6" i="80"/>
  <c r="L3" i="80"/>
  <c r="D11" i="80" s="1"/>
  <c r="F22" i="80" l="1"/>
  <c r="G22" i="80" s="1"/>
  <c r="F26" i="80"/>
  <c r="G26" i="80" s="1"/>
  <c r="F30" i="80"/>
  <c r="G30" i="80" s="1"/>
  <c r="F31" i="80"/>
  <c r="G31" i="80" s="1"/>
  <c r="F29" i="80"/>
  <c r="G29" i="80" s="1"/>
  <c r="L31" i="80"/>
  <c r="F32" i="80"/>
  <c r="G32" i="80" s="1"/>
  <c r="F33" i="80"/>
  <c r="G33" i="80" s="1"/>
  <c r="L22" i="80"/>
  <c r="F17" i="80"/>
  <c r="G17" i="80" s="1"/>
  <c r="F23" i="80"/>
  <c r="G23" i="80" s="1"/>
  <c r="F27" i="80"/>
  <c r="G27" i="80" s="1"/>
  <c r="F14" i="80"/>
  <c r="G14" i="80" s="1"/>
  <c r="F39" i="80"/>
  <c r="G39" i="80" s="1"/>
  <c r="F21" i="80"/>
  <c r="G21" i="80" s="1"/>
  <c r="F18" i="80"/>
  <c r="G18" i="80" s="1"/>
  <c r="F25" i="80"/>
  <c r="G25" i="80" s="1"/>
  <c r="L26" i="80"/>
  <c r="F34" i="80"/>
  <c r="G34" i="80" s="1"/>
  <c r="F13" i="80"/>
  <c r="G13" i="80" s="1"/>
  <c r="L14" i="80"/>
  <c r="L30" i="80"/>
  <c r="F15" i="80"/>
  <c r="G15" i="80" s="1"/>
  <c r="L23" i="80"/>
  <c r="F24" i="80"/>
  <c r="G24" i="80" s="1"/>
  <c r="L34" i="80"/>
  <c r="F19" i="80"/>
  <c r="G19" i="80" s="1"/>
  <c r="L27" i="80"/>
  <c r="F35" i="80"/>
  <c r="G35" i="80" s="1"/>
  <c r="F38" i="80"/>
  <c r="G38" i="80" s="1"/>
  <c r="F16" i="80"/>
  <c r="G16" i="80" s="1"/>
  <c r="F28" i="80"/>
  <c r="G28" i="80" s="1"/>
  <c r="L24" i="80"/>
  <c r="L32" i="80"/>
  <c r="F20" i="80"/>
  <c r="G20" i="80" s="1"/>
</calcChain>
</file>

<file path=xl/sharedStrings.xml><?xml version="1.0" encoding="utf-8"?>
<sst xmlns="http://schemas.openxmlformats.org/spreadsheetml/2006/main" count="2683" uniqueCount="173">
  <si>
    <t>eslite.ir</t>
    <phoneticPr fontId="5" type="noConversion"/>
  </si>
  <si>
    <t>eslite2926</t>
    <phoneticPr fontId="5" type="noConversion"/>
  </si>
  <si>
    <t>日期：</t>
  </si>
  <si>
    <t>PCHOME</t>
    <phoneticPr fontId="5" type="noConversion"/>
  </si>
  <si>
    <t>eslite_ir</t>
    <phoneticPr fontId="5" type="noConversion"/>
  </si>
  <si>
    <t>今日指數</t>
  </si>
  <si>
    <t>最高</t>
  </si>
  <si>
    <t>瓦　城</t>
  </si>
  <si>
    <t>0825.HK</t>
    <phoneticPr fontId="5" type="noConversion"/>
  </si>
  <si>
    <t>個股</t>
  </si>
  <si>
    <t>&lt;meta http-equiv="refresh" content="0;url=/oops/"&gt;</t>
  </si>
  <si>
    <t>寒　舍</t>
  </si>
  <si>
    <t>雲　品</t>
  </si>
  <si>
    <t>誠品生活</t>
  </si>
  <si>
    <t>－－</t>
  </si>
  <si>
    <t>京　站</t>
  </si>
  <si>
    <t>統一超</t>
  </si>
  <si>
    <t>遠　百</t>
  </si>
  <si>
    <t>寶　雅</t>
  </si>
  <si>
    <t>大洋-KY</t>
  </si>
  <si>
    <t>晶　華</t>
  </si>
  <si>
    <t>國　賓</t>
  </si>
  <si>
    <t>美食-KY</t>
  </si>
  <si>
    <t>王　品</t>
  </si>
  <si>
    <t>安　心</t>
  </si>
  <si>
    <t>聯　強</t>
  </si>
  <si>
    <t>藍　天</t>
  </si>
  <si>
    <t>網　家</t>
  </si>
  <si>
    <t>富邦媒</t>
  </si>
  <si>
    <t>買進</t>
  </si>
  <si>
    <t>賣出</t>
  </si>
  <si>
    <t>成交價</t>
  </si>
  <si>
    <t>漲跌</t>
  </si>
  <si>
    <t>漲跌幅</t>
  </si>
  <si>
    <t>成交量(張)</t>
  </si>
  <si>
    <t>開盤</t>
  </si>
  <si>
    <t>最低</t>
  </si>
  <si>
    <t>昨收價</t>
  </si>
  <si>
    <t>03368.HK</t>
    <phoneticPr fontId="5" type="noConversion"/>
  </si>
  <si>
    <t>百盛集團(3368)</t>
  </si>
  <si>
    <t>00825.HK</t>
    <phoneticPr fontId="5" type="noConversion"/>
  </si>
  <si>
    <t>新世界百貨中國(0825)</t>
  </si>
  <si>
    <t>YoY%</t>
    <phoneticPr fontId="5" type="noConversion"/>
  </si>
  <si>
    <t>MoM%</t>
    <phoneticPr fontId="5" type="noConversion"/>
  </si>
  <si>
    <r>
      <rPr>
        <sz val="13"/>
        <rFont val="標楷體"/>
        <family val="4"/>
        <charset val="136"/>
      </rPr>
      <t>統一超</t>
    </r>
    <phoneticPr fontId="5" type="noConversion"/>
  </si>
  <si>
    <r>
      <rPr>
        <sz val="13"/>
        <rFont val="標楷體"/>
        <family val="4"/>
        <charset val="136"/>
      </rPr>
      <t>遠百</t>
    </r>
    <phoneticPr fontId="5" type="noConversion"/>
  </si>
  <si>
    <r>
      <rPr>
        <sz val="13"/>
        <rFont val="標楷體"/>
        <family val="4"/>
        <charset val="136"/>
      </rPr>
      <t>寶雅</t>
    </r>
    <phoneticPr fontId="5" type="noConversion"/>
  </si>
  <si>
    <r>
      <rPr>
        <sz val="13"/>
        <rFont val="標楷體"/>
        <family val="4"/>
        <charset val="136"/>
      </rPr>
      <t>大洋</t>
    </r>
    <r>
      <rPr>
        <sz val="13"/>
        <rFont val="Times New Roman"/>
        <family val="1"/>
      </rPr>
      <t>-KY</t>
    </r>
    <phoneticPr fontId="5" type="noConversion"/>
  </si>
  <si>
    <r>
      <rPr>
        <sz val="13"/>
        <rFont val="標楷體"/>
        <family val="4"/>
        <charset val="136"/>
      </rPr>
      <t>京站</t>
    </r>
    <phoneticPr fontId="5" type="noConversion"/>
  </si>
  <si>
    <r>
      <rPr>
        <sz val="13"/>
        <rFont val="標楷體"/>
        <family val="4"/>
        <charset val="136"/>
      </rPr>
      <t>晶華</t>
    </r>
    <phoneticPr fontId="5" type="noConversion"/>
  </si>
  <si>
    <r>
      <rPr>
        <sz val="13"/>
        <rFont val="標楷體"/>
        <family val="4"/>
        <charset val="136"/>
      </rPr>
      <t>寒舍</t>
    </r>
    <phoneticPr fontId="5" type="noConversion"/>
  </si>
  <si>
    <r>
      <rPr>
        <sz val="13"/>
        <rFont val="標楷體"/>
        <family val="4"/>
        <charset val="136"/>
      </rPr>
      <t>雲品國際</t>
    </r>
    <phoneticPr fontId="5" type="noConversion"/>
  </si>
  <si>
    <r>
      <rPr>
        <sz val="13"/>
        <rFont val="標楷體"/>
        <family val="4"/>
        <charset val="136"/>
      </rPr>
      <t>王品</t>
    </r>
    <phoneticPr fontId="5" type="noConversion"/>
  </si>
  <si>
    <r>
      <rPr>
        <sz val="13"/>
        <rFont val="標楷體"/>
        <family val="4"/>
        <charset val="136"/>
      </rPr>
      <t>網家</t>
    </r>
    <phoneticPr fontId="5" type="noConversion"/>
  </si>
  <si>
    <r>
      <rPr>
        <sz val="13"/>
        <rFont val="標楷體"/>
        <family val="4"/>
        <charset val="136"/>
      </rPr>
      <t>藍天</t>
    </r>
    <phoneticPr fontId="5" type="noConversion"/>
  </si>
  <si>
    <r>
      <rPr>
        <sz val="13"/>
        <rFont val="標楷體"/>
        <family val="4"/>
        <charset val="136"/>
      </rPr>
      <t>富邦媒</t>
    </r>
    <phoneticPr fontId="5" type="noConversion"/>
  </si>
  <si>
    <t>https://member.pchome.com.tw/login.html?ref=http%3A%2F%2Fpchome.megatime.com.tw%2Fprot%2Fsto0%2Fcom1</t>
    <phoneticPr fontId="5" type="noConversion"/>
  </si>
  <si>
    <t>http://www.twse.com.tw/zh/page/trading/exchange/FMTQIK.html</t>
    <phoneticPr fontId="5" type="noConversion"/>
  </si>
  <si>
    <t xml:space="preserve">  </t>
    <phoneticPr fontId="5" type="noConversion"/>
  </si>
  <si>
    <t>帳號</t>
    <phoneticPr fontId="5" type="noConversion"/>
  </si>
  <si>
    <t>密碼</t>
    <phoneticPr fontId="5" type="noConversion"/>
  </si>
  <si>
    <t>鉅亨網</t>
    <phoneticPr fontId="5" type="noConversion"/>
  </si>
  <si>
    <t>大盤收盤資料</t>
    <phoneticPr fontId="5" type="noConversion"/>
  </si>
  <si>
    <t>前一交易日
指數</t>
    <phoneticPr fontId="5" type="noConversion"/>
  </si>
  <si>
    <t>今日成交值</t>
    <phoneticPr fontId="5" type="noConversion"/>
  </si>
  <si>
    <t>台股</t>
    <phoneticPr fontId="5" type="noConversion"/>
  </si>
  <si>
    <t>(台幣)</t>
    <phoneticPr fontId="5" type="noConversion"/>
  </si>
  <si>
    <t>香港恆生</t>
    <phoneticPr fontId="5" type="noConversion"/>
  </si>
  <si>
    <t>(港幣)</t>
    <phoneticPr fontId="5" type="noConversion"/>
  </si>
  <si>
    <t>個股資料</t>
    <phoneticPr fontId="5" type="noConversion"/>
  </si>
  <si>
    <t>股票名稱</t>
    <phoneticPr fontId="5" type="noConversion"/>
  </si>
  <si>
    <t>漲跌</t>
    <phoneticPr fontId="5" type="noConversion"/>
  </si>
  <si>
    <t>漲跌幅%</t>
    <phoneticPr fontId="5" type="noConversion"/>
  </si>
  <si>
    <t>開盤</t>
    <phoneticPr fontId="5" type="noConversion"/>
  </si>
  <si>
    <t>最低</t>
    <phoneticPr fontId="5" type="noConversion"/>
  </si>
  <si>
    <t>成交張數</t>
    <phoneticPr fontId="5" type="noConversion"/>
  </si>
  <si>
    <t>市值
(百萬元)</t>
    <phoneticPr fontId="5" type="noConversion"/>
  </si>
  <si>
    <t>已發行股本
(百萬股)</t>
    <phoneticPr fontId="5" type="noConversion"/>
  </si>
  <si>
    <t>台股 (台幣)</t>
    <phoneticPr fontId="5" type="noConversion"/>
  </si>
  <si>
    <t>誠品生活</t>
    <phoneticPr fontId="5" type="noConversion"/>
  </si>
  <si>
    <t>統一超</t>
    <phoneticPr fontId="5" type="noConversion"/>
  </si>
  <si>
    <t>遠百</t>
    <phoneticPr fontId="5" type="noConversion"/>
  </si>
  <si>
    <t>寶雅</t>
    <phoneticPr fontId="5" type="noConversion"/>
  </si>
  <si>
    <t>大洋-KY</t>
    <phoneticPr fontId="5" type="noConversion"/>
  </si>
  <si>
    <t>京站</t>
    <phoneticPr fontId="5" type="noConversion"/>
  </si>
  <si>
    <t>晶華</t>
    <phoneticPr fontId="5" type="noConversion"/>
  </si>
  <si>
    <t>國賓</t>
    <phoneticPr fontId="5" type="noConversion"/>
  </si>
  <si>
    <t>寒舍</t>
    <phoneticPr fontId="5" type="noConversion"/>
  </si>
  <si>
    <t>美食-KY</t>
    <phoneticPr fontId="5" type="noConversion"/>
  </si>
  <si>
    <t>王品</t>
    <phoneticPr fontId="5" type="noConversion"/>
  </si>
  <si>
    <t>安心</t>
    <phoneticPr fontId="5" type="noConversion"/>
  </si>
  <si>
    <t>網家</t>
    <phoneticPr fontId="5" type="noConversion"/>
  </si>
  <si>
    <t>藍天</t>
    <phoneticPr fontId="5" type="noConversion"/>
  </si>
  <si>
    <t>港股 (港幣)</t>
    <phoneticPr fontId="5" type="noConversion"/>
  </si>
  <si>
    <t>百盛</t>
    <phoneticPr fontId="5" type="noConversion"/>
  </si>
  <si>
    <t>新世界百貨</t>
    <phoneticPr fontId="5" type="noConversion"/>
  </si>
  <si>
    <t>時間</t>
  </si>
  <si>
    <t>成交價</t>
    <phoneticPr fontId="5" type="noConversion"/>
  </si>
  <si>
    <t>買價</t>
    <phoneticPr fontId="5" type="noConversion"/>
  </si>
  <si>
    <t>賣價</t>
    <phoneticPr fontId="5" type="noConversion"/>
  </si>
  <si>
    <t>內盤</t>
    <phoneticPr fontId="5" type="noConversion"/>
  </si>
  <si>
    <t>最高</t>
    <phoneticPr fontId="5" type="noConversion"/>
  </si>
  <si>
    <t>漲停價</t>
    <phoneticPr fontId="5" type="noConversion"/>
  </si>
  <si>
    <t>買進價</t>
    <phoneticPr fontId="5" type="noConversion"/>
  </si>
  <si>
    <t>成交量</t>
    <phoneticPr fontId="5" type="noConversion"/>
  </si>
  <si>
    <t>漲跌幅</t>
    <phoneticPr fontId="5" type="noConversion"/>
  </si>
  <si>
    <t>買量</t>
    <phoneticPr fontId="5" type="noConversion"/>
  </si>
  <si>
    <t>賣量</t>
    <phoneticPr fontId="5" type="noConversion"/>
  </si>
  <si>
    <t>外盤</t>
    <phoneticPr fontId="5" type="noConversion"/>
  </si>
  <si>
    <t>昨收價</t>
    <phoneticPr fontId="5" type="noConversion"/>
  </si>
  <si>
    <t>跌停價</t>
    <phoneticPr fontId="5" type="noConversion"/>
  </si>
  <si>
    <t>買進股數</t>
    <phoneticPr fontId="5" type="noConversion"/>
  </si>
  <si>
    <t>創業家</t>
  </si>
  <si>
    <t>富邦媒</t>
    <phoneticPr fontId="5" type="noConversion"/>
  </si>
  <si>
    <t>前一交易日成交值</t>
    <phoneticPr fontId="5" type="noConversion"/>
  </si>
  <si>
    <t>雲品國際</t>
    <phoneticPr fontId="5" type="noConversion"/>
  </si>
  <si>
    <t>91APP*-KY</t>
  </si>
  <si>
    <t>全家</t>
    <phoneticPr fontId="5" type="noConversion"/>
  </si>
  <si>
    <t>創業家</t>
    <phoneticPr fontId="5" type="noConversion"/>
  </si>
  <si>
    <t>91APP-KY</t>
    <phoneticPr fontId="5" type="noConversion"/>
  </si>
  <si>
    <t xml:space="preserve"> </t>
    <phoneticPr fontId="5" type="noConversion"/>
  </si>
  <si>
    <t>路易莎咖啡</t>
    <phoneticPr fontId="5" type="noConversion"/>
  </si>
  <si>
    <t>全　家</t>
  </si>
  <si>
    <t>路易莎咖啡</t>
  </si>
  <si>
    <t>三商家購</t>
  </si>
  <si>
    <t>http://www.aastocks.com/tc/stocks/market/index/hk-index-con.aspx?index=HIS</t>
    <phoneticPr fontId="5" type="noConversion"/>
  </si>
  <si>
    <r>
      <rPr>
        <sz val="11"/>
        <rFont val="標楷體"/>
        <family val="4"/>
        <charset val="136"/>
      </rPr>
      <t>單位：新台幣仟元</t>
    </r>
    <phoneticPr fontId="5" type="noConversion"/>
  </si>
  <si>
    <r>
      <rPr>
        <sz val="13"/>
        <rFont val="標楷體"/>
        <family val="4"/>
        <charset val="136"/>
      </rPr>
      <t>股票名稱</t>
    </r>
    <phoneticPr fontId="5" type="noConversion"/>
  </si>
  <si>
    <r>
      <rPr>
        <sz val="13"/>
        <rFont val="標楷體"/>
        <family val="4"/>
        <charset val="136"/>
      </rPr>
      <t>誠品生活</t>
    </r>
    <phoneticPr fontId="5" type="noConversion"/>
  </si>
  <si>
    <r>
      <rPr>
        <sz val="13"/>
        <rFont val="標楷體"/>
        <family val="4"/>
        <charset val="136"/>
      </rPr>
      <t>國賓</t>
    </r>
    <phoneticPr fontId="5" type="noConversion"/>
  </si>
  <si>
    <r>
      <rPr>
        <sz val="13"/>
        <rFont val="標楷體"/>
        <family val="4"/>
        <charset val="136"/>
      </rPr>
      <t>美食</t>
    </r>
    <r>
      <rPr>
        <sz val="13"/>
        <rFont val="Times New Roman"/>
        <family val="1"/>
      </rPr>
      <t>-KY</t>
    </r>
    <phoneticPr fontId="5" type="noConversion"/>
  </si>
  <si>
    <r>
      <rPr>
        <sz val="13"/>
        <rFont val="標楷體"/>
        <family val="4"/>
        <charset val="136"/>
      </rPr>
      <t>安心</t>
    </r>
    <phoneticPr fontId="5" type="noConversion"/>
  </si>
  <si>
    <r>
      <rPr>
        <sz val="13"/>
        <rFont val="標楷體"/>
        <family val="4"/>
        <charset val="136"/>
      </rPr>
      <t>瓦城</t>
    </r>
    <phoneticPr fontId="5" type="noConversion"/>
  </si>
  <si>
    <r>
      <rPr>
        <sz val="13"/>
        <rFont val="標楷體"/>
        <family val="4"/>
        <charset val="136"/>
      </rPr>
      <t>全家</t>
    </r>
    <phoneticPr fontId="5" type="noConversion"/>
  </si>
  <si>
    <r>
      <rPr>
        <sz val="13"/>
        <rFont val="標楷體"/>
        <family val="4"/>
        <charset val="136"/>
      </rPr>
      <t>三商家購</t>
    </r>
    <phoneticPr fontId="5" type="noConversion"/>
  </si>
  <si>
    <r>
      <rPr>
        <sz val="13"/>
        <rFont val="標楷體"/>
        <family val="4"/>
        <charset val="136"/>
      </rPr>
      <t>創業家</t>
    </r>
    <phoneticPr fontId="5" type="noConversion"/>
  </si>
  <si>
    <r>
      <rPr>
        <sz val="13"/>
        <rFont val="標楷體"/>
        <family val="4"/>
        <charset val="136"/>
      </rPr>
      <t>路易莎咖啡</t>
    </r>
    <phoneticPr fontId="5" type="noConversion"/>
  </si>
  <si>
    <t xml:space="preserve"> </t>
    <phoneticPr fontId="5" type="noConversion"/>
  </si>
  <si>
    <t>個股月營收資料</t>
    <phoneticPr fontId="5" type="noConversion"/>
  </si>
  <si>
    <t>LINEPAY</t>
  </si>
  <si>
    <t>LINEPAY</t>
    <phoneticPr fontId="5" type="noConversion"/>
  </si>
  <si>
    <t>走勢 明細</t>
  </si>
  <si>
    <t>新聞 技術</t>
  </si>
  <si>
    <t>主力買超券商</t>
  </si>
  <si>
    <t>今日成交</t>
  </si>
  <si>
    <t>今年累計</t>
  </si>
  <si>
    <t>主力賣超券商</t>
  </si>
  <si>
    <t>統一-南京</t>
  </si>
  <si>
    <t>03368.HK</t>
  </si>
  <si>
    <t>富邦-建國</t>
  </si>
  <si>
    <t>凱基-站前</t>
  </si>
  <si>
    <t>元大-敦南</t>
  </si>
  <si>
    <t>元大-館前</t>
  </si>
  <si>
    <t>宏遠-台中</t>
  </si>
  <si>
    <t>期間成交</t>
    <phoneticPr fontId="5" type="noConversion"/>
  </si>
  <si>
    <t>台灣摩根士丹利</t>
  </si>
  <si>
    <t>合庫-彰化</t>
  </si>
  <si>
    <t>元大-大益</t>
  </si>
  <si>
    <t>元大-上新莊</t>
  </si>
  <si>
    <t>大昌-新店</t>
  </si>
  <si>
    <t>期間買進</t>
  </si>
  <si>
    <t>期間買進</t>
    <phoneticPr fontId="5" type="noConversion"/>
  </si>
  <si>
    <t>期間賣出</t>
  </si>
  <si>
    <t>期間賣出</t>
    <phoneticPr fontId="5" type="noConversion"/>
  </si>
  <si>
    <t>凱基-大安</t>
  </si>
  <si>
    <r>
      <t>2024/3/30~2025/02/04 成交量</t>
    </r>
    <r>
      <rPr>
        <sz val="11"/>
        <color rgb="FFFF0000"/>
        <rFont val="微軟正黑體"/>
        <family val="2"/>
        <charset val="136"/>
      </rPr>
      <t>12</t>
    </r>
    <r>
      <rPr>
        <sz val="11"/>
        <color rgb="FF222222"/>
        <rFont val="微軟正黑體"/>
        <family val="2"/>
        <charset val="136"/>
      </rPr>
      <t>張，外資賣超</t>
    </r>
    <r>
      <rPr>
        <sz val="11"/>
        <color rgb="FFFF0000"/>
        <rFont val="微軟正黑體"/>
        <family val="2"/>
        <charset val="136"/>
      </rPr>
      <t>2</t>
    </r>
    <r>
      <rPr>
        <sz val="11"/>
        <color rgb="FF222222"/>
        <rFont val="微軟正黑體"/>
        <family val="2"/>
        <charset val="136"/>
      </rPr>
      <t>張。</t>
    </r>
    <phoneticPr fontId="5" type="noConversion"/>
  </si>
  <si>
    <t>台灣摩根士丹利</t>
    <phoneticPr fontId="5" type="noConversion"/>
  </si>
  <si>
    <r>
      <t>今日(02/06) 成交量</t>
    </r>
    <r>
      <rPr>
        <sz val="11"/>
        <color rgb="FFFF0000"/>
        <rFont val="微軟正黑體"/>
        <family val="2"/>
        <charset val="136"/>
      </rPr>
      <t>53</t>
    </r>
    <r>
      <rPr>
        <sz val="11"/>
        <color rgb="FF222222"/>
        <rFont val="微軟正黑體"/>
        <family val="2"/>
        <charset val="136"/>
      </rPr>
      <t>張，外資賣超</t>
    </r>
    <r>
      <rPr>
        <sz val="11"/>
        <color rgb="FFFF0000"/>
        <rFont val="微軟正黑體"/>
        <family val="2"/>
        <charset val="136"/>
      </rPr>
      <t>2</t>
    </r>
    <r>
      <rPr>
        <sz val="11"/>
        <color rgb="FF222222"/>
        <rFont val="微軟正黑體"/>
        <family val="2"/>
        <charset val="136"/>
      </rPr>
      <t>張。</t>
    </r>
    <phoneticPr fontId="5" type="noConversion"/>
  </si>
  <si>
    <t>合庫-自強</t>
  </si>
  <si>
    <t>2025/01月</t>
  </si>
  <si>
    <r>
      <t>2025/02</t>
    </r>
    <r>
      <rPr>
        <sz val="12"/>
        <rFont val="標楷體"/>
        <family val="4"/>
        <charset val="136"/>
      </rPr>
      <t>月</t>
    </r>
    <phoneticPr fontId="5" type="noConversion"/>
  </si>
  <si>
    <r>
      <t>2024/02</t>
    </r>
    <r>
      <rPr>
        <sz val="12"/>
        <rFont val="標楷體"/>
        <family val="4"/>
        <charset val="136"/>
      </rPr>
      <t>月</t>
    </r>
    <phoneticPr fontId="5" type="noConversion"/>
  </si>
  <si>
    <t>瓦　城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</si>
</sst>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m&quot;月&quot;d&quot;日&quot;"/>
    <numFmt numFmtId="177" formatCode="#,##0.00&quot;億&quot;"/>
    <numFmt numFmtId="178" formatCode="#,##0_ "/>
    <numFmt numFmtId="179" formatCode="0.00_ "/>
    <numFmt numFmtId="180" formatCode="0.000000000000_ "/>
    <numFmt numFmtId="181" formatCode="yyyy/m/d;@"/>
    <numFmt numFmtId="182" formatCode="_-* #,##0_-;\-* #,##0_-;_-* &quot;-&quot;??_-;_-@_-"/>
    <numFmt numFmtId="183" formatCode="#,##0.000"/>
  </numFmts>
  <fonts count="33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u/>
      <sz val="12"/>
      <color indexed="12"/>
      <name val="新細明體"/>
      <family val="1"/>
      <charset val="136"/>
    </font>
    <font>
      <sz val="13"/>
      <name val="標楷體"/>
      <family val="4"/>
      <charset val="136"/>
    </font>
    <font>
      <sz val="12"/>
      <name val="Times New Roman"/>
      <family val="1"/>
    </font>
    <font>
      <sz val="13"/>
      <name val="Times New Roman"/>
      <family val="1"/>
    </font>
    <font>
      <sz val="11"/>
      <name val="標楷體"/>
      <family val="4"/>
      <charset val="136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rgb="FF252525"/>
      <name val="微軟正黑體"/>
      <family val="2"/>
      <charset val="136"/>
    </font>
    <font>
      <sz val="11"/>
      <color rgb="FF004BBB"/>
      <name val="微軟正黑體"/>
      <family val="2"/>
      <charset val="136"/>
    </font>
    <font>
      <u/>
      <sz val="12"/>
      <color theme="10"/>
      <name val="新細明體"/>
      <family val="1"/>
      <charset val="136"/>
    </font>
    <font>
      <b/>
      <sz val="22"/>
      <name val="標楷體"/>
      <family val="4"/>
      <charset val="136"/>
    </font>
    <font>
      <b/>
      <sz val="11"/>
      <name val="標楷體"/>
      <family val="4"/>
      <charset val="136"/>
    </font>
    <font>
      <u/>
      <sz val="12"/>
      <color indexed="12"/>
      <name val="標楷體"/>
      <family val="4"/>
      <charset val="136"/>
    </font>
    <font>
      <b/>
      <sz val="12"/>
      <color theme="4"/>
      <name val="標楷體"/>
      <family val="4"/>
      <charset val="136"/>
    </font>
    <font>
      <sz val="10"/>
      <name val="標楷體"/>
      <family val="4"/>
      <charset val="136"/>
    </font>
    <font>
      <sz val="9"/>
      <name val="標楷體"/>
      <family val="4"/>
      <charset val="136"/>
    </font>
    <font>
      <sz val="9"/>
      <color rgb="FF008000"/>
      <name val="標楷體"/>
      <family val="4"/>
      <charset val="136"/>
    </font>
    <font>
      <sz val="9"/>
      <color rgb="FF000000"/>
      <name val="標楷體"/>
      <family val="4"/>
      <charset val="136"/>
    </font>
    <font>
      <sz val="9"/>
      <color theme="1"/>
      <name val="標楷體"/>
      <family val="4"/>
      <charset val="136"/>
    </font>
    <font>
      <u/>
      <sz val="11"/>
      <color indexed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1"/>
      <color rgb="FF222222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i/>
      <sz val="12"/>
      <name val="標楷體"/>
      <family val="4"/>
      <charset val="136"/>
    </font>
    <font>
      <b/>
      <sz val="11"/>
      <color rgb="FFFF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7FE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2E2B8"/>
        <bgColor indexed="64"/>
      </patternFill>
    </fill>
    <fill>
      <patternFill patternType="solid">
        <fgColor rgb="FFDDEBF7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2" fillId="0" borderId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44">
    <xf numFmtId="0" fontId="0" fillId="0" borderId="0" xfId="0"/>
    <xf numFmtId="176" fontId="0" fillId="0" borderId="0" xfId="0" applyNumberFormat="1"/>
    <xf numFmtId="0" fontId="10" fillId="8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8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10" fillId="0" borderId="5" xfId="0" applyFont="1" applyBorder="1" applyAlignment="1">
      <alignment horizontal="distributed" vertical="center"/>
    </xf>
    <xf numFmtId="0" fontId="10" fillId="2" borderId="5" xfId="0" applyFont="1" applyFill="1" applyBorder="1" applyAlignment="1">
      <alignment horizontal="distributed" vertical="center"/>
    </xf>
    <xf numFmtId="0" fontId="9" fillId="2" borderId="0" xfId="0" applyFont="1" applyFill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8" borderId="8" xfId="0" applyFont="1" applyFill="1" applyBorder="1" applyAlignment="1">
      <alignment horizontal="center" vertical="center"/>
    </xf>
    <xf numFmtId="10" fontId="9" fillId="0" borderId="8" xfId="3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2" borderId="0" xfId="0" applyFont="1" applyFill="1"/>
    <xf numFmtId="0" fontId="19" fillId="0" borderId="0" xfId="4" applyFont="1" applyAlignment="1" applyProtection="1"/>
    <xf numFmtId="0" fontId="4" fillId="2" borderId="0" xfId="0" applyFont="1" applyFill="1" applyAlignment="1">
      <alignment vertical="center"/>
    </xf>
    <xf numFmtId="179" fontId="4" fillId="2" borderId="0" xfId="0" applyNumberFormat="1" applyFont="1" applyFill="1"/>
    <xf numFmtId="0" fontId="4" fillId="2" borderId="0" xfId="0" applyFont="1" applyFill="1" applyAlignment="1">
      <alignment horizontal="right" vertical="center"/>
    </xf>
    <xf numFmtId="181" fontId="4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/>
    <xf numFmtId="0" fontId="19" fillId="2" borderId="0" xfId="4" applyFont="1" applyFill="1" applyAlignment="1" applyProtection="1"/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0" fontId="18" fillId="2" borderId="3" xfId="3" applyNumberFormat="1" applyFont="1" applyFill="1" applyBorder="1" applyAlignment="1">
      <alignment horizontal="center"/>
    </xf>
    <xf numFmtId="0" fontId="4" fillId="2" borderId="6" xfId="0" applyFont="1" applyFill="1" applyBorder="1"/>
    <xf numFmtId="177" fontId="6" fillId="2" borderId="3" xfId="0" applyNumberFormat="1" applyFont="1" applyFill="1" applyBorder="1" applyAlignment="1">
      <alignment vertical="center"/>
    </xf>
    <xf numFmtId="0" fontId="4" fillId="2" borderId="3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80" fontId="4" fillId="2" borderId="0" xfId="0" applyNumberFormat="1" applyFont="1" applyFill="1"/>
    <xf numFmtId="0" fontId="4" fillId="2" borderId="0" xfId="0" applyFont="1" applyFill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177" fontId="4" fillId="2" borderId="0" xfId="0" applyNumberFormat="1" applyFont="1" applyFill="1" applyAlignment="1">
      <alignment vertical="center"/>
    </xf>
    <xf numFmtId="177" fontId="20" fillId="2" borderId="0" xfId="0" applyNumberFormat="1" applyFont="1" applyFill="1" applyAlignment="1">
      <alignment vertical="center"/>
    </xf>
    <xf numFmtId="182" fontId="4" fillId="2" borderId="0" xfId="1" applyNumberFormat="1" applyFont="1" applyFill="1"/>
    <xf numFmtId="0" fontId="8" fillId="2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3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5" xfId="0" applyFont="1" applyBorder="1" applyAlignment="1">
      <alignment horizontal="distributed" vertical="distributed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179" fontId="8" fillId="2" borderId="5" xfId="0" applyNumberFormat="1" applyFont="1" applyFill="1" applyBorder="1" applyAlignment="1">
      <alignment horizontal="right"/>
    </xf>
    <xf numFmtId="179" fontId="8" fillId="2" borderId="1" xfId="0" applyNumberFormat="1" applyFont="1" applyFill="1" applyBorder="1" applyAlignment="1">
      <alignment horizontal="right"/>
    </xf>
    <xf numFmtId="10" fontId="8" fillId="2" borderId="11" xfId="0" applyNumberFormat="1" applyFont="1" applyFill="1" applyBorder="1" applyAlignment="1">
      <alignment horizontal="right"/>
    </xf>
    <xf numFmtId="179" fontId="8" fillId="2" borderId="4" xfId="0" applyNumberFormat="1" applyFont="1" applyFill="1" applyBorder="1" applyAlignment="1">
      <alignment horizontal="right"/>
    </xf>
    <xf numFmtId="178" fontId="8" fillId="2" borderId="5" xfId="0" applyNumberFormat="1" applyFont="1" applyFill="1" applyBorder="1" applyAlignment="1">
      <alignment horizontal="right"/>
    </xf>
    <xf numFmtId="178" fontId="8" fillId="2" borderId="5" xfId="0" applyNumberFormat="1" applyFont="1" applyFill="1" applyBorder="1"/>
    <xf numFmtId="0" fontId="8" fillId="2" borderId="5" xfId="0" applyFont="1" applyFill="1" applyBorder="1" applyAlignment="1">
      <alignment horizontal="distributed" vertical="distributed"/>
    </xf>
    <xf numFmtId="10" fontId="4" fillId="2" borderId="0" xfId="3" applyNumberFormat="1" applyFont="1" applyFill="1"/>
    <xf numFmtId="179" fontId="8" fillId="0" borderId="1" xfId="0" applyNumberFormat="1" applyFont="1" applyBorder="1" applyAlignment="1">
      <alignment horizontal="right"/>
    </xf>
    <xf numFmtId="10" fontId="8" fillId="0" borderId="11" xfId="0" applyNumberFormat="1" applyFont="1" applyBorder="1" applyAlignment="1">
      <alignment horizontal="right"/>
    </xf>
    <xf numFmtId="178" fontId="8" fillId="0" borderId="5" xfId="0" applyNumberFormat="1" applyFont="1" applyBorder="1"/>
    <xf numFmtId="179" fontId="8" fillId="0" borderId="5" xfId="0" applyNumberFormat="1" applyFont="1" applyBorder="1" applyAlignment="1">
      <alignment horizontal="right"/>
    </xf>
    <xf numFmtId="179" fontId="8" fillId="0" borderId="4" xfId="0" applyNumberFormat="1" applyFont="1" applyBorder="1" applyAlignment="1">
      <alignment horizontal="right"/>
    </xf>
    <xf numFmtId="178" fontId="8" fillId="0" borderId="5" xfId="0" applyNumberFormat="1" applyFont="1" applyBorder="1" applyAlignment="1">
      <alignment horizontal="right"/>
    </xf>
    <xf numFmtId="3" fontId="4" fillId="0" borderId="0" xfId="0" applyNumberFormat="1" applyFont="1"/>
    <xf numFmtId="0" fontId="4" fillId="0" borderId="0" xfId="0" applyFont="1"/>
    <xf numFmtId="0" fontId="4" fillId="0" borderId="5" xfId="0" applyFont="1" applyBorder="1"/>
    <xf numFmtId="10" fontId="8" fillId="2" borderId="15" xfId="0" applyNumberFormat="1" applyFont="1" applyFill="1" applyBorder="1" applyAlignment="1">
      <alignment horizontal="right"/>
    </xf>
    <xf numFmtId="0" fontId="4" fillId="6" borderId="0" xfId="0" applyFont="1" applyFill="1"/>
    <xf numFmtId="0" fontId="21" fillId="3" borderId="9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2" fontId="22" fillId="5" borderId="9" xfId="0" applyNumberFormat="1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right" vertical="center" wrapText="1"/>
    </xf>
    <xf numFmtId="0" fontId="22" fillId="5" borderId="9" xfId="0" applyFont="1" applyFill="1" applyBorder="1" applyAlignment="1">
      <alignment horizontal="right" vertical="center" wrapText="1"/>
    </xf>
    <xf numFmtId="0" fontId="22" fillId="5" borderId="13" xfId="0" applyFont="1" applyFill="1" applyBorder="1" applyAlignment="1">
      <alignment horizontal="right" vertical="center" wrapText="1"/>
    </xf>
    <xf numFmtId="0" fontId="4" fillId="2" borderId="0" xfId="0" quotePrefix="1" applyFont="1" applyFill="1"/>
    <xf numFmtId="0" fontId="25" fillId="0" borderId="9" xfId="0" applyFont="1" applyBorder="1" applyAlignment="1">
      <alignment horizontal="right" vertical="center" wrapText="1"/>
    </xf>
    <xf numFmtId="10" fontId="25" fillId="0" borderId="9" xfId="0" applyNumberFormat="1" applyFont="1" applyBorder="1" applyAlignment="1">
      <alignment horizontal="right" vertical="center" wrapText="1"/>
    </xf>
    <xf numFmtId="0" fontId="24" fillId="0" borderId="18" xfId="0" applyFont="1" applyBorder="1" applyAlignment="1">
      <alignment wrapText="1"/>
    </xf>
    <xf numFmtId="0" fontId="4" fillId="9" borderId="13" xfId="0" applyFont="1" applyFill="1" applyBorder="1" applyAlignment="1">
      <alignment vertical="center" wrapText="1"/>
    </xf>
    <xf numFmtId="2" fontId="4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0" fontId="4" fillId="9" borderId="19" xfId="0" applyFont="1" applyFill="1" applyBorder="1" applyAlignment="1">
      <alignment vertical="center" wrapText="1"/>
    </xf>
    <xf numFmtId="182" fontId="10" fillId="0" borderId="5" xfId="1" applyNumberFormat="1" applyFont="1" applyFill="1" applyBorder="1" applyAlignment="1">
      <alignment horizontal="right" vertical="center"/>
    </xf>
    <xf numFmtId="2" fontId="4" fillId="0" borderId="3" xfId="0" applyNumberFormat="1" applyFont="1" applyBorder="1" applyAlignment="1">
      <alignment horizontal="center" vertical="center" wrapText="1"/>
    </xf>
    <xf numFmtId="0" fontId="9" fillId="0" borderId="5" xfId="0" applyFont="1" applyBorder="1"/>
    <xf numFmtId="0" fontId="10" fillId="0" borderId="5" xfId="0" applyFont="1" applyBorder="1" applyAlignment="1">
      <alignment horizontal="distributed" vertical="distributed"/>
    </xf>
    <xf numFmtId="4" fontId="4" fillId="2" borderId="2" xfId="0" applyNumberFormat="1" applyFont="1" applyFill="1" applyBorder="1" applyAlignment="1">
      <alignment vertical="center"/>
    </xf>
    <xf numFmtId="3" fontId="24" fillId="0" borderId="18" xfId="0" applyNumberFormat="1" applyFont="1" applyBorder="1" applyAlignment="1">
      <alignment horizontal="right" wrapText="1"/>
    </xf>
    <xf numFmtId="0" fontId="6" fillId="0" borderId="0" xfId="0" applyFont="1" applyAlignment="1">
      <alignment vertical="center"/>
    </xf>
    <xf numFmtId="183" fontId="24" fillId="0" borderId="18" xfId="0" applyNumberFormat="1" applyFont="1" applyBorder="1" applyAlignment="1">
      <alignment horizontal="right" wrapText="1"/>
    </xf>
    <xf numFmtId="0" fontId="7" fillId="0" borderId="0" xfId="4" applyAlignment="1" applyProtection="1"/>
    <xf numFmtId="0" fontId="26" fillId="7" borderId="0" xfId="4" applyFont="1" applyFill="1" applyAlignment="1" applyProtection="1">
      <alignment horizontal="center" vertical="center"/>
    </xf>
    <xf numFmtId="0" fontId="27" fillId="7" borderId="0" xfId="0" applyFont="1" applyFill="1" applyAlignment="1">
      <alignment horizontal="center" vertical="center"/>
    </xf>
    <xf numFmtId="10" fontId="27" fillId="7" borderId="0" xfId="0" applyNumberFormat="1" applyFont="1" applyFill="1" applyAlignment="1">
      <alignment horizontal="center" vertical="center"/>
    </xf>
    <xf numFmtId="3" fontId="27" fillId="7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left" vertical="center"/>
    </xf>
    <xf numFmtId="0" fontId="28" fillId="10" borderId="21" xfId="0" applyFont="1" applyFill="1" applyBorder="1" applyAlignment="1">
      <alignment vertical="center"/>
    </xf>
    <xf numFmtId="0" fontId="28" fillId="10" borderId="22" xfId="0" applyFont="1" applyFill="1" applyBorder="1" applyAlignment="1">
      <alignment vertical="center"/>
    </xf>
    <xf numFmtId="0" fontId="28" fillId="10" borderId="23" xfId="0" applyFont="1" applyFill="1" applyBorder="1" applyAlignment="1">
      <alignment vertical="center"/>
    </xf>
    <xf numFmtId="0" fontId="28" fillId="7" borderId="24" xfId="0" applyFont="1" applyFill="1" applyBorder="1" applyAlignment="1">
      <alignment vertical="center"/>
    </xf>
    <xf numFmtId="0" fontId="28" fillId="7" borderId="0" xfId="0" applyFont="1" applyFill="1" applyAlignment="1">
      <alignment horizontal="center" vertical="center"/>
    </xf>
    <xf numFmtId="0" fontId="28" fillId="7" borderId="25" xfId="0" applyFont="1" applyFill="1" applyBorder="1" applyAlignment="1">
      <alignment horizontal="center" vertical="center"/>
    </xf>
    <xf numFmtId="0" fontId="28" fillId="10" borderId="24" xfId="0" applyFont="1" applyFill="1" applyBorder="1" applyAlignment="1">
      <alignment vertical="center"/>
    </xf>
    <xf numFmtId="0" fontId="28" fillId="10" borderId="0" xfId="0" applyFont="1" applyFill="1" applyAlignment="1">
      <alignment horizontal="center" vertical="center"/>
    </xf>
    <xf numFmtId="0" fontId="28" fillId="10" borderId="25" xfId="0" applyFont="1" applyFill="1" applyBorder="1" applyAlignment="1">
      <alignment horizontal="center" vertical="center"/>
    </xf>
    <xf numFmtId="0" fontId="28" fillId="7" borderId="26" xfId="0" applyFont="1" applyFill="1" applyBorder="1" applyAlignment="1">
      <alignment vertical="center"/>
    </xf>
    <xf numFmtId="0" fontId="28" fillId="7" borderId="27" xfId="0" applyFont="1" applyFill="1" applyBorder="1" applyAlignment="1">
      <alignment horizontal="center" vertical="center"/>
    </xf>
    <xf numFmtId="0" fontId="28" fillId="7" borderId="28" xfId="0" applyFont="1" applyFill="1" applyBorder="1" applyAlignment="1">
      <alignment horizontal="center" vertical="center"/>
    </xf>
    <xf numFmtId="0" fontId="29" fillId="0" borderId="0" xfId="0" applyFont="1"/>
    <xf numFmtId="0" fontId="31" fillId="2" borderId="4" xfId="0" applyFont="1" applyFill="1" applyBorder="1"/>
    <xf numFmtId="0" fontId="31" fillId="0" borderId="5" xfId="0" applyFont="1" applyBorder="1"/>
    <xf numFmtId="3" fontId="4" fillId="2" borderId="0" xfId="0" applyNumberFormat="1" applyFont="1" applyFill="1" applyAlignment="1">
      <alignment vertical="center"/>
    </xf>
    <xf numFmtId="10" fontId="8" fillId="0" borderId="14" xfId="0" applyNumberFormat="1" applyFont="1" applyBorder="1" applyAlignment="1">
      <alignment horizontal="right"/>
    </xf>
    <xf numFmtId="0" fontId="27" fillId="2" borderId="0" xfId="0" applyFont="1" applyFill="1"/>
    <xf numFmtId="0" fontId="27" fillId="3" borderId="12" xfId="0" applyFont="1" applyFill="1" applyBorder="1" applyAlignment="1">
      <alignment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32" fillId="3" borderId="9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27" fillId="3" borderId="13" xfId="0" applyFont="1" applyFill="1" applyBorder="1" applyAlignment="1">
      <alignment horizontal="center" vertical="center" wrapText="1"/>
    </xf>
    <xf numFmtId="0" fontId="27" fillId="3" borderId="18" xfId="0" applyFont="1" applyFill="1" applyBorder="1" applyAlignment="1">
      <alignment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0" borderId="0" xfId="0" applyFont="1"/>
    <xf numFmtId="0" fontId="14" fillId="7" borderId="0" xfId="0" applyFont="1" applyFill="1" applyAlignment="1">
      <alignment horizontal="center" vertical="center"/>
    </xf>
    <xf numFmtId="21" fontId="14" fillId="7" borderId="0" xfId="0" applyNumberFormat="1" applyFont="1" applyFill="1" applyAlignment="1">
      <alignment horizontal="center" vertical="center"/>
    </xf>
    <xf numFmtId="0" fontId="15" fillId="7" borderId="20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21" fontId="14" fillId="7" borderId="1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4" fillId="9" borderId="0" xfId="0" applyFont="1" applyFill="1" applyAlignment="1">
      <alignment vertical="center" wrapText="1"/>
    </xf>
    <xf numFmtId="0" fontId="13" fillId="0" borderId="2" xfId="0" applyFont="1" applyBorder="1" applyAlignment="1">
      <alignment horizontal="right" vertical="center" wrapText="1"/>
    </xf>
  </cellXfs>
  <cellStyles count="12">
    <cellStyle name="Hyperlink" xfId="5" xr:uid="{00000000-0005-0000-0000-000000000000}"/>
    <cellStyle name="一般" xfId="0" builtinId="0"/>
    <cellStyle name="一般 2" xfId="6" xr:uid="{00000000-0005-0000-0000-000002000000}"/>
    <cellStyle name="一般 3" xfId="9" xr:uid="{00000000-0005-0000-0000-000003000000}"/>
    <cellStyle name="千分位" xfId="1" builtinId="3"/>
    <cellStyle name="千分位 2" xfId="2" xr:uid="{00000000-0005-0000-0000-000005000000}"/>
    <cellStyle name="千分位 2 2" xfId="8" xr:uid="{00000000-0005-0000-0000-000006000000}"/>
    <cellStyle name="千分位 3" xfId="7" xr:uid="{00000000-0005-0000-0000-000007000000}"/>
    <cellStyle name="千分位 4" xfId="11" xr:uid="{00000000-0005-0000-0000-000008000000}"/>
    <cellStyle name="百分比" xfId="3" builtinId="5"/>
    <cellStyle name="百分比 2" xfId="10" xr:uid="{00000000-0005-0000-0000-00000A000000}"/>
    <cellStyle name="超連結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https://pchome.megatime.com.tw/prot/sto1/com1" TargetMode="External"/><Relationship Id="rId1" Type="http://schemas.openxmlformats.org/officeDocument/2006/relationships/image" Target="../media/image1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2" name="圖片 1" descr="https://pchome.megatime.com.tw/img/crying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375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3" name="圖片 2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06375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4" name="圖片 3" descr="https://pchome.megatime.com.tw/img/crying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5" name="圖片 4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0490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6" name="圖片 5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4604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7" name="圖片 6" descr="https://pchome.megatime.com.tw/img/crying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719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8" name="圖片 7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8719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9" name="圖片 8" descr="https://pchome.megatime.com.tw/img/crying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34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0" name="圖片 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22834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1" name="圖片 10" descr="https://pchome.megatime.com.tw/img/att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949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2" name="圖片 1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26949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3" name="圖片 12" descr="https://pchome.megatime.com.tw/img/smile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4" name="圖片 13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1064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5" name="圖片 14" descr="https://pchome.megatime.com.tw/img/crying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178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6" name="圖片 15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5178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7" name="圖片 16" descr="https://pchome.megatime.com.tw/img/crying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293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8" name="圖片 17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9293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9" name="圖片 18" descr="https://pchome.megatime.com.tw/img/smile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408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20" name="圖片 19" descr="https://pchome.megatime.com.tw/img/att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43408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21" name="圖片 20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43408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22" name="圖片 21" descr="https://pchome.megatime.com.tw/img/smile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523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23" name="圖片 22" descr="https://pchome.megatime.com.tw/img/att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47523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24" name="圖片 23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47523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25" name="圖片 24" descr="https://pchome.megatime.com.tw/img/smile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638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26" name="圖片 25" descr="https://pchome.megatime.com.tw/img/att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51638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27" name="圖片 26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1638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28" name="圖片 27" descr="https://pchome.megatime.com.tw/img/crying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752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29" name="圖片 28" descr="https://pchome.megatime.com.tw/img/att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55752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30" name="圖片 2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5752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31" name="圖片 30" descr="https://pchome.megatime.com.tw/img/att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867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32" name="圖片 3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9867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33" name="圖片 32" descr="https://pchome.megatime.com.tw/img/smile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982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34" name="圖片 33" descr="https://pchome.megatime.com.tw/img/att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63982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35" name="圖片 34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63982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36" name="圖片 35" descr="https://pchome.megatime.com.tw/img/crying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097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37" name="圖片 36" descr="https://pchome.megatime.com.tw/img/att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68097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38" name="圖片 37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68097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39" name="圖片 38" descr="https://pchome.megatime.com.tw/img/smile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212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40" name="圖片 39" descr="https://pchome.megatime.com.tw/img/att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72212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41" name="圖片 40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72212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42" name="圖片 41" descr="https://pchome.megatime.com.tw/img/att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26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43" name="圖片 42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76326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44" name="圖片 43" descr="https://pchome.megatime.com.tw/img/crying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441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45" name="圖片 44" descr="https://pchome.megatime.com.tw/img/att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0441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46" name="圖片 45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0441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47" name="圖片 46" descr="https://pchome.megatime.com.tw/img/smile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56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48" name="圖片 47" descr="https://pchome.megatime.com.tw/img/att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4556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49" name="圖片 48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4556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50" name="圖片 49" descr="https://pchome.megatime.com.tw/img/smile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671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51" name="圖片 50" descr="https://pchome.megatime.com.tw/img/att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8671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52" name="圖片 5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8671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53" name="圖片 52" descr="https://pchome.megatime.com.tw/img/crying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86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54" name="圖片 53" descr="https://pchome.megatime.com.tw/img/att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92786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55" name="圖片 54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92786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56" name="圖片 55" descr="https://pchome.megatime.com.tw/img/smile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900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57" name="圖片 56" descr="https://pchome.megatime.com.tw/img/att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96900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58" name="圖片 57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96900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59" name="圖片 58" descr="https://pchome.megatime.com.tw/img/crying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015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60" name="圖片 5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201015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61" name="圖片 60" descr="https://pchome.megatime.com.tw/img/crying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375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62" name="圖片 6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06375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63" name="圖片 62" descr="https://pchome.megatime.com.tw/img/crying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64" name="圖片 63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0490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65" name="圖片 64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4604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66" name="圖片 65" descr="https://pchome.megatime.com.tw/img/crying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719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67" name="圖片 66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8719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68" name="圖片 67" descr="https://pchome.megatime.com.tw/img/crying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34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69" name="圖片 68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22834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70" name="圖片 69" descr="https://pchome.megatime.com.tw/img/att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949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71" name="圖片 70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26949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72" name="圖片 7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1064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73" name="圖片 72" descr="https://pchome.megatime.com.tw/img/crying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178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74" name="圖片 73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5178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75" name="圖片 74" descr="https://pchome.megatime.com.tw/img/crying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293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76" name="圖片 75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9293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77" name="圖片 76" descr="https://pchome.megatime.com.tw/img/smile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408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78" name="圖片 77" descr="https://pchome.megatime.com.tw/img/att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43408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79" name="圖片 78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43408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80" name="圖片 79" descr="https://pchome.megatime.com.tw/img/smile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523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81" name="圖片 80" descr="https://pchome.megatime.com.tw/img/att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47523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82" name="圖片 8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47523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83" name="圖片 82" descr="https://pchome.megatime.com.tw/img/smile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638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84" name="圖片 83" descr="https://pchome.megatime.com.tw/img/att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51638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85" name="圖片 84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1638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86" name="圖片 85" descr="https://pchome.megatime.com.tw/img/crying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752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87" name="圖片 86" descr="https://pchome.megatime.com.tw/img/att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55752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88" name="圖片 87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5752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89" name="圖片 88" descr="https://pchome.megatime.com.tw/img/att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867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90" name="圖片 8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9867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91" name="圖片 90" descr="https://pchome.megatime.com.tw/img/smile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982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92" name="圖片 91" descr="https://pchome.megatime.com.tw/img/att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63982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93" name="圖片 92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63982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94" name="圖片 93" descr="https://pchome.megatime.com.tw/img/crying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097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95" name="圖片 94" descr="https://pchome.megatime.com.tw/img/att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68097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96" name="圖片 95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68097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97" name="圖片 96" descr="https://pchome.megatime.com.tw/img/smile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212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98" name="圖片 97" descr="https://pchome.megatime.com.tw/img/att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72212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99" name="圖片 98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72212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00" name="圖片 99" descr="https://pchome.megatime.com.tw/img/att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26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01" name="圖片 100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76326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02" name="圖片 101" descr="https://pchome.megatime.com.tw/img/crying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441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03" name="圖片 102" descr="https://pchome.megatime.com.tw/img/att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0441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04" name="圖片 103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0441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05" name="圖片 104" descr="https://pchome.megatime.com.tw/img/smile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56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06" name="圖片 105" descr="https://pchome.megatime.com.tw/img/att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4556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07" name="圖片 106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4556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08" name="圖片 107" descr="https://pchome.megatime.com.tw/img/smile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671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09" name="圖片 108" descr="https://pchome.megatime.com.tw/img/att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8671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10" name="圖片 10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8671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11" name="圖片 110" descr="https://pchome.megatime.com.tw/img/crying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86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12" name="圖片 111" descr="https://pchome.megatime.com.tw/img/att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92786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13" name="圖片 112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92786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14" name="圖片 113" descr="https://pchome.megatime.com.tw/img/smile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900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15" name="圖片 114" descr="https://pchome.megatime.com.tw/img/att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96900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16" name="圖片 115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96900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17" name="圖片 116" descr="https://pchome.megatime.com.tw/img/crying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015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18" name="圖片 117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201015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19" name="圖片 118" descr="https://pchome.megatime.com.tw/img/crying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375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20" name="圖片 11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06375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21" name="圖片 120" descr="https://pchome.megatime.com.tw/img/crying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22" name="圖片 12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0490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23" name="圖片 122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4604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24" name="圖片 123" descr="https://pchome.megatime.com.tw/img/crying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719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25" name="圖片 124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18719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26" name="圖片 125" descr="https://pchome.megatime.com.tw/img/crying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34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27" name="圖片 126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22834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28" name="圖片 127" descr="https://pchome.megatime.com.tw/img/att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949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29" name="圖片 128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26949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30" name="圖片 12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1064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31" name="圖片 130" descr="https://pchome.megatime.com.tw/img/crying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178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32" name="圖片 13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5178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33" name="圖片 132" descr="https://pchome.megatime.com.tw/img/crying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293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34" name="圖片 133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39293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35" name="圖片 134" descr="https://pchome.megatime.com.tw/img/smile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408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36" name="圖片 135" descr="https://pchome.megatime.com.tw/img/att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43408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37" name="圖片 136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43408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38" name="圖片 137" descr="https://pchome.megatime.com.tw/img/smile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523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39" name="圖片 138" descr="https://pchome.megatime.com.tw/img/att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47523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40" name="圖片 13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47523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41" name="圖片 140" descr="https://pchome.megatime.com.tw/img/smile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638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42" name="圖片 141" descr="https://pchome.megatime.com.tw/img/att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51638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43" name="圖片 142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1638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44" name="圖片 143" descr="https://pchome.megatime.com.tw/img/crying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752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45" name="圖片 144" descr="https://pchome.megatime.com.tw/img/att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55752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46" name="圖片 145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5752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47" name="圖片 146" descr="https://pchome.megatime.com.tw/img/att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867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48" name="圖片 147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59867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49" name="圖片 148" descr="https://pchome.megatime.com.tw/img/smile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982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50" name="圖片 149" descr="https://pchome.megatime.com.tw/img/att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63982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51" name="圖片 150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63982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52" name="圖片 151" descr="https://pchome.megatime.com.tw/img/crying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097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53" name="圖片 152" descr="https://pchome.megatime.com.tw/img/att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68097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54" name="圖片 153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68097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55" name="圖片 154" descr="https://pchome.megatime.com.tw/img/smile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212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56" name="圖片 155" descr="https://pchome.megatime.com.tw/img/att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72212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57" name="圖片 156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72212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58" name="圖片 157" descr="https://pchome.megatime.com.tw/img/smile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26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59" name="圖片 158" descr="https://pchome.megatime.com.tw/img/att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76326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60" name="圖片 159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76326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61" name="圖片 160" descr="https://pchome.megatime.com.tw/img/crying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441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62" name="圖片 161" descr="https://pchome.megatime.com.tw/img/att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0441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63" name="圖片 162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0441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64" name="圖片 163" descr="https://pchome.megatime.com.tw/img/smile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56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65" name="圖片 164" descr="https://pchome.megatime.com.tw/img/att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45564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66" name="圖片 165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45564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67" name="圖片 166" descr="https://pchome.megatime.com.tw/img/smile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671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68" name="圖片 167" descr="https://pchome.megatime.com.tw/img/att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886712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69" name="圖片 168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886712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70" name="圖片 169" descr="https://pchome.megatime.com.tw/img/crying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86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71" name="圖片 170" descr="https://pchome.megatime.com.tw/img/att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927860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72" name="圖片 171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927860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73" name="圖片 172" descr="https://pchome.megatime.com.tw/img/smile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900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41</xdr:row>
      <xdr:rowOff>0</xdr:rowOff>
    </xdr:from>
    <xdr:to>
      <xdr:col>0</xdr:col>
      <xdr:colOff>327660</xdr:colOff>
      <xdr:row>41</xdr:row>
      <xdr:rowOff>160020</xdr:rowOff>
    </xdr:to>
    <xdr:pic>
      <xdr:nvPicPr>
        <xdr:cNvPr id="174" name="圖片 173" descr="https://pchome.megatime.com.tw/img/att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969008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75" name="圖片 174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1969008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160020</xdr:colOff>
      <xdr:row>41</xdr:row>
      <xdr:rowOff>160020</xdr:rowOff>
    </xdr:to>
    <xdr:pic>
      <xdr:nvPicPr>
        <xdr:cNvPr id="176" name="圖片 175" descr="https://pchome.megatime.com.tw/img/crying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01560"/>
          <a:ext cx="1600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198120</xdr:colOff>
      <xdr:row>41</xdr:row>
      <xdr:rowOff>190500</xdr:rowOff>
    </xdr:to>
    <xdr:pic>
      <xdr:nvPicPr>
        <xdr:cNvPr id="177" name="圖片 176" descr="https://pchome.megatime.com.tw/img/edit.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420" y="20101560"/>
          <a:ext cx="1981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13</xdr:row>
      <xdr:rowOff>0</xdr:rowOff>
    </xdr:from>
    <xdr:to>
      <xdr:col>15</xdr:col>
      <xdr:colOff>581839</xdr:colOff>
      <xdr:row>36</xdr:row>
      <xdr:rowOff>19725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5" y="2752725"/>
          <a:ext cx="5830114" cy="4839375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36</xdr:row>
      <xdr:rowOff>28575</xdr:rowOff>
    </xdr:from>
    <xdr:to>
      <xdr:col>15</xdr:col>
      <xdr:colOff>591366</xdr:colOff>
      <xdr:row>59</xdr:row>
      <xdr:rowOff>38774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2650" y="7600950"/>
          <a:ext cx="5849166" cy="48298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619952</xdr:colOff>
      <xdr:row>32</xdr:row>
      <xdr:rowOff>86469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85900"/>
          <a:ext cx="5925377" cy="5334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member.pchome.com.tw/login.html?ref=http%3A%2F%2Fpchome.megatime.com.tw%2Fprot%2Fsto0%2Fco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pageSetUpPr fitToPage="1"/>
  </sheetPr>
  <dimension ref="A1:AA42"/>
  <sheetViews>
    <sheetView showGridLines="0" tabSelected="1" view="pageBreakPreview" zoomScale="85" zoomScaleNormal="85" zoomScaleSheetLayoutView="85" workbookViewId="0">
      <selection activeCell="T22" sqref="T22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137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f ca="1">NOW()</f>
        <v>46068.898451041663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22273.19</v>
      </c>
      <c r="E6" s="94">
        <v>22106.639999999999</v>
      </c>
      <c r="F6" s="33">
        <f>(D6-E6)/E6</f>
        <v>7.5339355053503964E-3</v>
      </c>
      <c r="G6" s="34"/>
      <c r="H6" s="91">
        <f>ROUND(256973561881/100000000,2)</f>
        <v>2569.7399999999998</v>
      </c>
      <c r="I6" s="91">
        <f>ROUND(251044538014/100000000,2)</f>
        <v>2510.4499999999998</v>
      </c>
      <c r="J6" s="35">
        <f>+H6-I6</f>
        <v>59.289999999999964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23344.25</v>
      </c>
      <c r="E8" s="90">
        <v>23905.56</v>
      </c>
      <c r="F8" s="33">
        <f>(D8-E8)/E8</f>
        <v>-2.3480311693179382E-2</v>
      </c>
      <c r="G8" s="34"/>
      <c r="H8" s="91">
        <v>2852.69</v>
      </c>
      <c r="I8" s="91">
        <v>2331.08</v>
      </c>
      <c r="J8" s="35">
        <f>+H8-I8</f>
        <v>521.61000000000013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 ca="1">"今日收盤"
&amp;MONTH(L3)&amp;"/"&amp;DAY(L3)</f>
        <v>今日收盤2/15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 t="e">
        <f>#REF!</f>
        <v>#REF!</v>
      </c>
      <c r="E13" s="60" t="e">
        <f>#REF!</f>
        <v>#REF!</v>
      </c>
      <c r="F13" s="61" t="e">
        <f>D13-E13</f>
        <v>#REF!</v>
      </c>
      <c r="G13" s="62" t="e">
        <f>F13/E13</f>
        <v>#REF!</v>
      </c>
      <c r="H13" s="63" t="e">
        <f>#REF!</f>
        <v>#REF!</v>
      </c>
      <c r="I13" s="60" t="e">
        <f>#REF!</f>
        <v>#REF!</v>
      </c>
      <c r="J13" s="60" t="e">
        <f>#REF!</f>
        <v>#REF!</v>
      </c>
      <c r="K13" s="64" t="e">
        <f>#REF!</f>
        <v>#REF!</v>
      </c>
      <c r="L13" s="64" t="e">
        <f>+O13*D13</f>
        <v>#REF!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 t="e">
        <f>#REF!</f>
        <v>#REF!</v>
      </c>
      <c r="E14" s="60" t="e">
        <f>#REF!</f>
        <v>#REF!</v>
      </c>
      <c r="F14" s="61" t="e">
        <f t="shared" ref="F14:F30" si="0">D14-E14</f>
        <v>#REF!</v>
      </c>
      <c r="G14" s="62" t="e">
        <f>F14/E14</f>
        <v>#REF!</v>
      </c>
      <c r="H14" s="63" t="e">
        <f>#REF!</f>
        <v>#REF!</v>
      </c>
      <c r="I14" s="60" t="e">
        <f>#REF!</f>
        <v>#REF!</v>
      </c>
      <c r="J14" s="60" t="e">
        <f>#REF!</f>
        <v>#REF!</v>
      </c>
      <c r="K14" s="73" t="e">
        <f>#REF!</f>
        <v>#REF!</v>
      </c>
      <c r="L14" s="64" t="e">
        <f>+O14*D14</f>
        <v>#REF!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 t="e">
        <f>#REF!</f>
        <v>#REF!</v>
      </c>
      <c r="E15" s="71" t="e">
        <f>#REF!</f>
        <v>#REF!</v>
      </c>
      <c r="F15" s="61" t="e">
        <f>D15-E15</f>
        <v>#REF!</v>
      </c>
      <c r="G15" s="62" t="e">
        <f>F15/E15</f>
        <v>#REF!</v>
      </c>
      <c r="H15" s="72" t="e">
        <f>#REF!</f>
        <v>#REF!</v>
      </c>
      <c r="I15" s="60" t="e">
        <f>#REF!</f>
        <v>#REF!</v>
      </c>
      <c r="J15" s="71" t="e">
        <f>#REF!</f>
        <v>#REF!</v>
      </c>
      <c r="K15" s="73" t="e">
        <f>#REF!</f>
        <v>#REF!</v>
      </c>
      <c r="L15" s="64" t="e">
        <f>D15*O15</f>
        <v>#REF!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 t="e">
        <f>#REF!</f>
        <v>#REF!</v>
      </c>
      <c r="E16" s="71" t="e">
        <f>#REF!</f>
        <v>#REF!</v>
      </c>
      <c r="F16" s="61" t="e">
        <f>D16-E16</f>
        <v>#REF!</v>
      </c>
      <c r="G16" s="62" t="e">
        <f>F16/E16</f>
        <v>#REF!</v>
      </c>
      <c r="H16" s="72" t="e">
        <f>#REF!</f>
        <v>#REF!</v>
      </c>
      <c r="I16" s="60" t="e">
        <f>#REF!</f>
        <v>#REF!</v>
      </c>
      <c r="J16" s="71" t="e">
        <f>#REF!</f>
        <v>#REF!</v>
      </c>
      <c r="K16" s="73" t="e">
        <f>#REF!</f>
        <v>#REF!</v>
      </c>
      <c r="L16" s="64" t="e">
        <f>D16*O16</f>
        <v>#REF!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 t="e">
        <f>#REF!</f>
        <v>#REF!</v>
      </c>
      <c r="E17" s="60" t="e">
        <f>#REF!</f>
        <v>#REF!</v>
      </c>
      <c r="F17" s="61" t="e">
        <f t="shared" si="0"/>
        <v>#REF!</v>
      </c>
      <c r="G17" s="62" t="e">
        <f t="shared" ref="G17:G22" si="1">F17/E17</f>
        <v>#REF!</v>
      </c>
      <c r="H17" s="63" t="e">
        <f>#REF!</f>
        <v>#REF!</v>
      </c>
      <c r="I17" s="60" t="e">
        <f>#REF!</f>
        <v>#REF!</v>
      </c>
      <c r="J17" s="60" t="e">
        <f>#REF!</f>
        <v>#REF!</v>
      </c>
      <c r="K17" s="64" t="e">
        <f>#REF!</f>
        <v>#REF!</v>
      </c>
      <c r="L17" s="64" t="e">
        <f>+O17*D17</f>
        <v>#REF!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 t="e">
        <f>#REF!</f>
        <v>#REF!</v>
      </c>
      <c r="E18" s="60" t="e">
        <f>#REF!</f>
        <v>#REF!</v>
      </c>
      <c r="F18" s="61" t="e">
        <f t="shared" si="0"/>
        <v>#REF!</v>
      </c>
      <c r="G18" s="62" t="e">
        <f t="shared" si="1"/>
        <v>#REF!</v>
      </c>
      <c r="H18" s="63" t="e">
        <f>#REF!</f>
        <v>#REF!</v>
      </c>
      <c r="I18" s="60" t="e">
        <f>#REF!</f>
        <v>#REF!</v>
      </c>
      <c r="J18" s="60" t="e">
        <f>#REF!</f>
        <v>#REF!</v>
      </c>
      <c r="K18" s="64" t="e">
        <f>#REF!</f>
        <v>#REF!</v>
      </c>
      <c r="L18" s="64" t="e">
        <f>+O18*D18</f>
        <v>#REF!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 t="e">
        <f>#REF!</f>
        <v>#REF!</v>
      </c>
      <c r="E19" s="60" t="e">
        <f>#REF!</f>
        <v>#REF!</v>
      </c>
      <c r="F19" s="61" t="e">
        <f t="shared" si="0"/>
        <v>#REF!</v>
      </c>
      <c r="G19" s="62" t="e">
        <f>F19/E19</f>
        <v>#REF!</v>
      </c>
      <c r="H19" s="63" t="e">
        <f>#REF!</f>
        <v>#REF!</v>
      </c>
      <c r="I19" s="60" t="e">
        <f>#REF!</f>
        <v>#REF!</v>
      </c>
      <c r="J19" s="60" t="e">
        <f>#REF!</f>
        <v>#REF!</v>
      </c>
      <c r="K19" s="64" t="e">
        <f>#REF!</f>
        <v>#REF!</v>
      </c>
      <c r="L19" s="64" t="e">
        <f>+O19*D19</f>
        <v>#REF!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 t="e">
        <f>#REF!</f>
        <v>#REF!</v>
      </c>
      <c r="E20" s="60" t="e">
        <f>#REF!</f>
        <v>#REF!</v>
      </c>
      <c r="F20" s="61" t="e">
        <f>D20-E20</f>
        <v>#REF!</v>
      </c>
      <c r="G20" s="62" t="e">
        <f>F20/E20</f>
        <v>#REF!</v>
      </c>
      <c r="H20" s="63" t="e">
        <f>#REF!</f>
        <v>#REF!</v>
      </c>
      <c r="I20" s="60" t="e">
        <f>#REF!</f>
        <v>#REF!</v>
      </c>
      <c r="J20" s="60" t="e">
        <f>#REF!</f>
        <v>#REF!</v>
      </c>
      <c r="K20" s="64" t="e">
        <f>#REF!</f>
        <v>#REF!</v>
      </c>
      <c r="L20" s="64" t="e">
        <f>O20*D20</f>
        <v>#REF!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 t="e">
        <f>#REF!</f>
        <v>#REF!</v>
      </c>
      <c r="E21" s="60" t="e">
        <f>#REF!</f>
        <v>#REF!</v>
      </c>
      <c r="F21" s="61" t="e">
        <f t="shared" si="0"/>
        <v>#REF!</v>
      </c>
      <c r="G21" s="62" t="e">
        <f t="shared" si="1"/>
        <v>#REF!</v>
      </c>
      <c r="H21" s="63" t="e">
        <f>#REF!</f>
        <v>#REF!</v>
      </c>
      <c r="I21" s="60" t="e">
        <f>#REF!</f>
        <v>#REF!</v>
      </c>
      <c r="J21" s="60" t="e">
        <f>#REF!</f>
        <v>#REF!</v>
      </c>
      <c r="K21" s="64" t="e">
        <f>#REF!</f>
        <v>#REF!</v>
      </c>
      <c r="L21" s="64" t="e">
        <f t="shared" ref="L21:L28" si="2">+O21*D21</f>
        <v>#REF!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 t="e">
        <f>#REF!</f>
        <v>#REF!</v>
      </c>
      <c r="E22" s="60" t="e">
        <f>#REF!</f>
        <v>#REF!</v>
      </c>
      <c r="F22" s="61" t="e">
        <f t="shared" si="0"/>
        <v>#REF!</v>
      </c>
      <c r="G22" s="62" t="e">
        <f t="shared" si="1"/>
        <v>#REF!</v>
      </c>
      <c r="H22" s="63" t="e">
        <f>#REF!</f>
        <v>#REF!</v>
      </c>
      <c r="I22" s="60" t="e">
        <f>#REF!</f>
        <v>#REF!</v>
      </c>
      <c r="J22" s="60" t="e">
        <f>#REF!</f>
        <v>#REF!</v>
      </c>
      <c r="K22" s="64" t="e">
        <f>#REF!</f>
        <v>#REF!</v>
      </c>
      <c r="L22" s="64" t="e">
        <f t="shared" si="2"/>
        <v>#REF!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 t="e">
        <f>#REF!</f>
        <v>#REF!</v>
      </c>
      <c r="E23" s="60" t="e">
        <f>#REF!</f>
        <v>#REF!</v>
      </c>
      <c r="F23" s="61" t="e">
        <f>D23-E23</f>
        <v>#REF!</v>
      </c>
      <c r="G23" s="62" t="e">
        <f>F23/E23</f>
        <v>#REF!</v>
      </c>
      <c r="H23" s="63" t="e">
        <f>#REF!</f>
        <v>#REF!</v>
      </c>
      <c r="I23" s="60" t="e">
        <f>#REF!</f>
        <v>#REF!</v>
      </c>
      <c r="J23" s="60" t="e">
        <f>#REF!</f>
        <v>#REF!</v>
      </c>
      <c r="K23" s="64" t="e">
        <f>#REF!</f>
        <v>#REF!</v>
      </c>
      <c r="L23" s="64" t="e">
        <f t="shared" si="2"/>
        <v>#REF!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 t="e">
        <f>#REF!</f>
        <v>#REF!</v>
      </c>
      <c r="E24" s="60" t="e">
        <f>#REF!</f>
        <v>#REF!</v>
      </c>
      <c r="F24" s="68" t="e">
        <f t="shared" si="0"/>
        <v>#REF!</v>
      </c>
      <c r="G24" s="69" t="e">
        <f>F24/E24</f>
        <v>#REF!</v>
      </c>
      <c r="H24" s="63" t="e">
        <f>#REF!</f>
        <v>#REF!</v>
      </c>
      <c r="I24" s="60" t="e">
        <f>#REF!</f>
        <v>#REF!</v>
      </c>
      <c r="J24" s="60" t="e">
        <f>#REF!</f>
        <v>#REF!</v>
      </c>
      <c r="K24" s="64" t="e">
        <f>#REF!</f>
        <v>#REF!</v>
      </c>
      <c r="L24" s="64" t="e">
        <f t="shared" si="2"/>
        <v>#REF!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 t="e">
        <f>#REF!</f>
        <v>#REF!</v>
      </c>
      <c r="E25" s="71" t="e">
        <f>#REF!</f>
        <v>#REF!</v>
      </c>
      <c r="F25" s="68" t="e">
        <f t="shared" si="0"/>
        <v>#REF!</v>
      </c>
      <c r="G25" s="69" t="e">
        <f t="shared" ref="G25:G31" si="3">F25/E25</f>
        <v>#REF!</v>
      </c>
      <c r="H25" s="72" t="e">
        <f>#REF!</f>
        <v>#REF!</v>
      </c>
      <c r="I25" s="60" t="e">
        <f>#REF!</f>
        <v>#REF!</v>
      </c>
      <c r="J25" s="71" t="e">
        <f>#REF!</f>
        <v>#REF!</v>
      </c>
      <c r="K25" s="73" t="e">
        <f>#REF!</f>
        <v>#REF!</v>
      </c>
      <c r="L25" s="64" t="e">
        <f t="shared" si="2"/>
        <v>#REF!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 t="e">
        <f>#REF!</f>
        <v>#REF!</v>
      </c>
      <c r="E26" s="71" t="e">
        <f>#REF!</f>
        <v>#REF!</v>
      </c>
      <c r="F26" s="68" t="e">
        <f t="shared" si="0"/>
        <v>#REF!</v>
      </c>
      <c r="G26" s="69" t="e">
        <f t="shared" si="3"/>
        <v>#REF!</v>
      </c>
      <c r="H26" s="72" t="e">
        <f>#REF!</f>
        <v>#REF!</v>
      </c>
      <c r="I26" s="71" t="e">
        <f>#REF!</f>
        <v>#REF!</v>
      </c>
      <c r="J26" s="71" t="e">
        <f>#REF!</f>
        <v>#REF!</v>
      </c>
      <c r="K26" s="73" t="e">
        <f>#REF!</f>
        <v>#REF!</v>
      </c>
      <c r="L26" s="64" t="e">
        <f t="shared" si="2"/>
        <v>#REF!</v>
      </c>
      <c r="M26" s="74"/>
      <c r="N26" s="74"/>
      <c r="O26" s="70">
        <v>84.450999999999993</v>
      </c>
      <c r="Q26" s="17"/>
      <c r="R26" s="17"/>
    </row>
    <row r="27" spans="1:18" s="75" customFormat="1" ht="20.100000000000001" hidden="1" customHeight="1" outlineLevel="1" x14ac:dyDescent="0.25">
      <c r="A27" s="59">
        <v>1259</v>
      </c>
      <c r="B27" s="57" t="s">
        <v>90</v>
      </c>
      <c r="C27" s="57"/>
      <c r="D27" s="71" t="e">
        <f>#REF!</f>
        <v>#REF!</v>
      </c>
      <c r="E27" s="71" t="e">
        <f>#REF!</f>
        <v>#REF!</v>
      </c>
      <c r="F27" s="68" t="e">
        <f>D27-E27</f>
        <v>#REF!</v>
      </c>
      <c r="G27" s="69" t="e">
        <f>F27/E27</f>
        <v>#REF!</v>
      </c>
      <c r="H27" s="72" t="e">
        <f>#REF!</f>
        <v>#REF!</v>
      </c>
      <c r="I27" s="71" t="e">
        <f>#REF!</f>
        <v>#REF!</v>
      </c>
      <c r="J27" s="71" t="e">
        <f>#REF!</f>
        <v>#REF!</v>
      </c>
      <c r="K27" s="73" t="e">
        <f>#REF!</f>
        <v>#REF!</v>
      </c>
      <c r="L27" s="64" t="e">
        <f t="shared" si="2"/>
        <v>#REF!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172</v>
      </c>
      <c r="C28" s="57"/>
      <c r="D28" s="71" t="e">
        <f>#REF!</f>
        <v>#REF!</v>
      </c>
      <c r="E28" s="71" t="e">
        <f>#REF!</f>
        <v>#REF!</v>
      </c>
      <c r="F28" s="68" t="e">
        <f t="shared" si="0"/>
        <v>#REF!</v>
      </c>
      <c r="G28" s="69" t="e">
        <f t="shared" si="3"/>
        <v>#REF!</v>
      </c>
      <c r="H28" s="72" t="e">
        <f>#REF!</f>
        <v>#REF!</v>
      </c>
      <c r="I28" s="71" t="e">
        <f>#REF!</f>
        <v>#REF!</v>
      </c>
      <c r="J28" s="71" t="e">
        <f>#REF!</f>
        <v>#REF!</v>
      </c>
      <c r="K28" s="73" t="e">
        <f>#REF!</f>
        <v>#REF!</v>
      </c>
      <c r="L28" s="64" t="e">
        <f t="shared" si="2"/>
        <v>#REF!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 t="e">
        <f>#REF!</f>
        <v>#REF!</v>
      </c>
      <c r="E29" s="71" t="e">
        <f>#REF!</f>
        <v>#REF!</v>
      </c>
      <c r="F29" s="68" t="e">
        <f>D29-E29</f>
        <v>#REF!</v>
      </c>
      <c r="G29" s="69" t="e">
        <f>F29/E29</f>
        <v>#REF!</v>
      </c>
      <c r="H29" s="72" t="e">
        <f>#REF!</f>
        <v>#REF!</v>
      </c>
      <c r="I29" s="71" t="e">
        <f>#REF!</f>
        <v>#REF!</v>
      </c>
      <c r="J29" s="71" t="e">
        <f>#REF!</f>
        <v>#REF!</v>
      </c>
      <c r="K29" s="73" t="e">
        <f>#REF!</f>
        <v>#REF!</v>
      </c>
      <c r="L29" s="64" t="e">
        <f>+D29*O29</f>
        <v>#REF!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 t="e">
        <f>#REF!</f>
        <v>#REF!</v>
      </c>
      <c r="E30" s="71" t="e">
        <f>#REF!</f>
        <v>#REF!</v>
      </c>
      <c r="F30" s="68" t="e">
        <f t="shared" si="0"/>
        <v>#REF!</v>
      </c>
      <c r="G30" s="69" t="e">
        <f t="shared" si="3"/>
        <v>#REF!</v>
      </c>
      <c r="H30" s="72" t="e">
        <f>#REF!</f>
        <v>#REF!</v>
      </c>
      <c r="I30" s="71" t="e">
        <f>#REF!</f>
        <v>#REF!</v>
      </c>
      <c r="J30" s="71" t="e">
        <f>#REF!</f>
        <v>#REF!</v>
      </c>
      <c r="K30" s="73" t="e">
        <f>#REF!</f>
        <v>#REF!</v>
      </c>
      <c r="L30" s="64" t="e">
        <f>D30*O30</f>
        <v>#REF!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 t="e">
        <f>#REF!</f>
        <v>#REF!</v>
      </c>
      <c r="E31" s="71" t="e">
        <f>#REF!</f>
        <v>#REF!</v>
      </c>
      <c r="F31" s="68" t="e">
        <f>D31-E31</f>
        <v>#REF!</v>
      </c>
      <c r="G31" s="69" t="e">
        <f t="shared" si="3"/>
        <v>#REF!</v>
      </c>
      <c r="H31" s="72" t="e">
        <f>#REF!</f>
        <v>#REF!</v>
      </c>
      <c r="I31" s="71" t="e">
        <f>#REF!</f>
        <v>#REF!</v>
      </c>
      <c r="J31" s="71" t="e">
        <f>#REF!</f>
        <v>#REF!</v>
      </c>
      <c r="K31" s="73" t="e">
        <f>#REF!</f>
        <v>#REF!</v>
      </c>
      <c r="L31" s="64" t="e">
        <f>+O31*D31</f>
        <v>#REF!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 t="e">
        <f>#REF!</f>
        <v>#REF!</v>
      </c>
      <c r="E32" s="71" t="e">
        <f>#REF!</f>
        <v>#REF!</v>
      </c>
      <c r="F32" s="68" t="e">
        <f>D32-E32</f>
        <v>#REF!</v>
      </c>
      <c r="G32" s="69" t="e">
        <f>F32/E32</f>
        <v>#REF!</v>
      </c>
      <c r="H32" s="72" t="e">
        <f>#REF!</f>
        <v>#REF!</v>
      </c>
      <c r="I32" s="71" t="e">
        <f>#REF!</f>
        <v>#REF!</v>
      </c>
      <c r="J32" s="71" t="e">
        <f>#REF!</f>
        <v>#REF!</v>
      </c>
      <c r="K32" s="73" t="e">
        <f>#REF!</f>
        <v>#REF!</v>
      </c>
      <c r="L32" s="64" t="e">
        <f>+O32*D32</f>
        <v>#REF!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 t="e">
        <f>#REF!</f>
        <v>#REF!</v>
      </c>
      <c r="E33" s="71" t="e">
        <f>#REF!</f>
        <v>#REF!</v>
      </c>
      <c r="F33" s="68" t="e">
        <f>D33-E33</f>
        <v>#REF!</v>
      </c>
      <c r="G33" s="69" t="e">
        <f>F33/E33</f>
        <v>#REF!</v>
      </c>
      <c r="H33" s="72" t="e">
        <f>#REF!</f>
        <v>#REF!</v>
      </c>
      <c r="I33" s="71" t="e">
        <f>#REF!</f>
        <v>#REF!</v>
      </c>
      <c r="J33" s="71" t="e">
        <f>#REF!</f>
        <v>#REF!</v>
      </c>
      <c r="K33" s="73" t="e">
        <f>#REF!</f>
        <v>#REF!</v>
      </c>
      <c r="L33" s="64" t="e">
        <f>+O33*D33</f>
        <v>#REF!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 t="e">
        <f>#REF!</f>
        <v>#REF!</v>
      </c>
      <c r="E34" s="71" t="e">
        <f>#REF!</f>
        <v>#REF!</v>
      </c>
      <c r="F34" s="68" t="e">
        <f>D34-E34</f>
        <v>#REF!</v>
      </c>
      <c r="G34" s="69" t="e">
        <f>F34/E34</f>
        <v>#REF!</v>
      </c>
      <c r="H34" s="72" t="e">
        <f>#REF!</f>
        <v>#REF!</v>
      </c>
      <c r="I34" s="71" t="e">
        <f>#REF!</f>
        <v>#REF!</v>
      </c>
      <c r="J34" s="71" t="e">
        <f>#REF!</f>
        <v>#REF!</v>
      </c>
      <c r="K34" s="73" t="e">
        <f>#REF!</f>
        <v>#REF!</v>
      </c>
      <c r="L34" s="64" t="e">
        <f>+O34*D34</f>
        <v>#REF!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 t="e">
        <f>#REF!</f>
        <v>#REF!</v>
      </c>
      <c r="E35" s="71" t="e">
        <f>#REF!</f>
        <v>#REF!</v>
      </c>
      <c r="F35" s="68" t="e">
        <f>D35-E35</f>
        <v>#REF!</v>
      </c>
      <c r="G35" s="69" t="e">
        <f>F35/E35</f>
        <v>#REF!</v>
      </c>
      <c r="H35" s="72" t="e">
        <f>#REF!</f>
        <v>#REF!</v>
      </c>
      <c r="I35" s="71" t="e">
        <f>#REF!</f>
        <v>#REF!</v>
      </c>
      <c r="J35" s="71" t="e">
        <f>#REF!</f>
        <v>#REF!</v>
      </c>
      <c r="K35" s="73" t="e">
        <f>#REF!</f>
        <v>#REF!</v>
      </c>
      <c r="L35" s="64" t="e">
        <f>+O35*D35</f>
        <v>#REF!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 t="e">
        <f>#REF!</f>
        <v>#REF!</v>
      </c>
      <c r="E38" s="60" t="e">
        <f>#REF!</f>
        <v>#REF!</v>
      </c>
      <c r="F38" s="61" t="e">
        <f>D38-E38</f>
        <v>#REF!</v>
      </c>
      <c r="G38" s="62" t="e">
        <f>F38/E38</f>
        <v>#REF!</v>
      </c>
      <c r="H38" s="63" t="e">
        <f>#REF!</f>
        <v>#REF!</v>
      </c>
      <c r="I38" s="60" t="e">
        <f>#REF!</f>
        <v>#REF!</v>
      </c>
      <c r="J38" s="60" t="e">
        <f>#REF!</f>
        <v>#REF!</v>
      </c>
      <c r="K38" s="64" t="e">
        <f>#REF!</f>
        <v>#REF!</v>
      </c>
      <c r="L38" s="64" t="e">
        <f>+O38*D38</f>
        <v>#REF!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 t="e">
        <f>#REF!</f>
        <v>#REF!</v>
      </c>
      <c r="E39" s="60" t="e">
        <f>#REF!</f>
        <v>#REF!</v>
      </c>
      <c r="F39" s="61" t="e">
        <f>D39-E39</f>
        <v>#REF!</v>
      </c>
      <c r="G39" s="77" t="e">
        <f>F39/E39</f>
        <v>#REF!</v>
      </c>
      <c r="H39" s="63" t="e">
        <f>#REF!</f>
        <v>#REF!</v>
      </c>
      <c r="I39" s="60" t="e">
        <f>#REF!</f>
        <v>#REF!</v>
      </c>
      <c r="J39" s="60" t="e">
        <f>#REF!</f>
        <v>#REF!</v>
      </c>
      <c r="K39" s="64" t="e">
        <f>#REF!</f>
        <v>#REF!</v>
      </c>
      <c r="L39" s="64" t="e">
        <f>+O39*D39</f>
        <v>#REF!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x14ac:dyDescent="0.25"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75"/>
      <c r="R42" s="75"/>
      <c r="S42" s="75"/>
      <c r="T42" s="75"/>
      <c r="U42" s="75"/>
      <c r="V42" s="75"/>
      <c r="W42" s="75"/>
      <c r="X42" s="75"/>
      <c r="Y42" s="75"/>
    </row>
  </sheetData>
  <dataConsolidate/>
  <mergeCells count="2">
    <mergeCell ref="B2:L2"/>
    <mergeCell ref="B42:P42"/>
  </mergeCells>
  <phoneticPr fontId="5" type="noConversion"/>
  <hyperlinks>
    <hyperlink ref="O3" r:id="rId1" xr:uid="{00000000-0004-0000-00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70" orientation="landscape" r:id="rId2"/>
  <colBreaks count="1" manualBreakCount="1">
    <brk id="11" max="1048575" man="1"/>
  </colBreaks>
  <ignoredErrors>
    <ignoredError sqref="D31 H31:K31 J20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/>
  <dimension ref="A1:L36"/>
  <sheetViews>
    <sheetView workbookViewId="0">
      <selection activeCell="D6" sqref="D6"/>
    </sheetView>
  </sheetViews>
  <sheetFormatPr defaultColWidth="8.75" defaultRowHeight="16.5" x14ac:dyDescent="0.25"/>
  <cols>
    <col min="1" max="1" width="15.125" bestFit="1" customWidth="1"/>
    <col min="2" max="3" width="9.75" bestFit="1" customWidth="1"/>
    <col min="9" max="9" width="16.375" bestFit="1" customWidth="1"/>
  </cols>
  <sheetData>
    <row r="1" spans="1:12" ht="17.25" thickBot="1" x14ac:dyDescent="0.3">
      <c r="A1" s="119" t="s">
        <v>167</v>
      </c>
      <c r="I1" s="119" t="s">
        <v>165</v>
      </c>
    </row>
    <row r="2" spans="1:12" x14ac:dyDescent="0.25">
      <c r="A2" s="107" t="s">
        <v>143</v>
      </c>
      <c r="B2" s="108" t="s">
        <v>144</v>
      </c>
      <c r="C2" s="109" t="s">
        <v>145</v>
      </c>
      <c r="I2" s="107" t="s">
        <v>143</v>
      </c>
      <c r="J2" s="108" t="s">
        <v>154</v>
      </c>
      <c r="K2" s="108" t="s">
        <v>161</v>
      </c>
      <c r="L2" s="109" t="s">
        <v>163</v>
      </c>
    </row>
    <row r="3" spans="1:12" x14ac:dyDescent="0.25">
      <c r="A3" s="110" t="s">
        <v>159</v>
      </c>
      <c r="B3" s="111">
        <v>12</v>
      </c>
      <c r="C3" s="112">
        <v>34</v>
      </c>
      <c r="I3" s="110" t="s">
        <v>150</v>
      </c>
      <c r="J3" s="111">
        <f t="shared" ref="J3:J7" si="0">SUM(K3:L3)</f>
        <v>428</v>
      </c>
      <c r="K3" s="111">
        <v>429</v>
      </c>
      <c r="L3" s="112">
        <v>-1</v>
      </c>
    </row>
    <row r="4" spans="1:12" x14ac:dyDescent="0.25">
      <c r="A4" s="110" t="s">
        <v>168</v>
      </c>
      <c r="B4" s="111">
        <v>11</v>
      </c>
      <c r="C4" s="112">
        <v>12</v>
      </c>
      <c r="I4" s="110" t="s">
        <v>147</v>
      </c>
      <c r="J4" s="111">
        <f t="shared" si="0"/>
        <v>246</v>
      </c>
      <c r="K4" s="111">
        <v>340</v>
      </c>
      <c r="L4" s="112">
        <v>-94</v>
      </c>
    </row>
    <row r="5" spans="1:12" x14ac:dyDescent="0.25">
      <c r="A5" s="113" t="s">
        <v>146</v>
      </c>
      <c r="B5" s="114" t="s">
        <v>144</v>
      </c>
      <c r="C5" s="115" t="s">
        <v>145</v>
      </c>
      <c r="I5" s="110" t="s">
        <v>151</v>
      </c>
      <c r="J5" s="111">
        <f t="shared" si="0"/>
        <v>214</v>
      </c>
      <c r="K5" s="111">
        <v>229</v>
      </c>
      <c r="L5" s="112">
        <v>-15</v>
      </c>
    </row>
    <row r="6" spans="1:12" x14ac:dyDescent="0.25">
      <c r="A6" s="110" t="s">
        <v>153</v>
      </c>
      <c r="B6" s="111">
        <v>-28</v>
      </c>
      <c r="C6" s="112">
        <v>-51</v>
      </c>
      <c r="I6" s="110" t="s">
        <v>152</v>
      </c>
      <c r="J6" s="111">
        <f t="shared" si="0"/>
        <v>190</v>
      </c>
      <c r="K6" s="111">
        <v>191</v>
      </c>
      <c r="L6" s="112">
        <v>-1</v>
      </c>
    </row>
    <row r="7" spans="1:12" ht="17.25" thickBot="1" x14ac:dyDescent="0.3">
      <c r="A7" s="116" t="s">
        <v>155</v>
      </c>
      <c r="B7" s="117">
        <v>-12</v>
      </c>
      <c r="C7" s="118">
        <v>-72</v>
      </c>
      <c r="I7" s="110" t="s">
        <v>164</v>
      </c>
      <c r="J7" s="111">
        <f t="shared" si="0"/>
        <v>101</v>
      </c>
      <c r="K7" s="111">
        <v>105</v>
      </c>
      <c r="L7" s="112">
        <v>-4</v>
      </c>
    </row>
    <row r="8" spans="1:12" x14ac:dyDescent="0.25">
      <c r="I8" s="113" t="s">
        <v>146</v>
      </c>
      <c r="J8" s="114" t="s">
        <v>154</v>
      </c>
      <c r="K8" s="114" t="s">
        <v>160</v>
      </c>
      <c r="L8" s="115" t="s">
        <v>162</v>
      </c>
    </row>
    <row r="9" spans="1:12" x14ac:dyDescent="0.25">
      <c r="I9" s="110" t="s">
        <v>166</v>
      </c>
      <c r="J9" s="111">
        <f>SUM(K9:L9)</f>
        <v>-365</v>
      </c>
      <c r="K9" s="111">
        <v>0</v>
      </c>
      <c r="L9" s="112">
        <v>-365</v>
      </c>
    </row>
    <row r="10" spans="1:12" x14ac:dyDescent="0.25">
      <c r="I10" s="110" t="s">
        <v>149</v>
      </c>
      <c r="J10" s="111">
        <f t="shared" ref="J10:J13" si="1">SUM(K10:L10)</f>
        <v>-243</v>
      </c>
      <c r="K10" s="111">
        <v>30</v>
      </c>
      <c r="L10" s="112">
        <v>-273</v>
      </c>
    </row>
    <row r="11" spans="1:12" x14ac:dyDescent="0.25">
      <c r="I11" s="110" t="s">
        <v>156</v>
      </c>
      <c r="J11" s="111">
        <f t="shared" si="1"/>
        <v>-171</v>
      </c>
      <c r="K11" s="111">
        <v>43</v>
      </c>
      <c r="L11" s="112">
        <v>-214</v>
      </c>
    </row>
    <row r="12" spans="1:12" x14ac:dyDescent="0.25">
      <c r="I12" s="110" t="s">
        <v>157</v>
      </c>
      <c r="J12" s="111">
        <f t="shared" si="1"/>
        <v>-147</v>
      </c>
      <c r="K12" s="111">
        <v>0</v>
      </c>
      <c r="L12" s="112">
        <v>-147</v>
      </c>
    </row>
    <row r="13" spans="1:12" ht="17.25" thickBot="1" x14ac:dyDescent="0.3">
      <c r="I13" s="116" t="s">
        <v>158</v>
      </c>
      <c r="J13" s="117">
        <f t="shared" si="1"/>
        <v>-134</v>
      </c>
      <c r="K13" s="117">
        <v>8</v>
      </c>
      <c r="L13" s="118">
        <v>-142</v>
      </c>
    </row>
    <row r="36" spans="9:9" x14ac:dyDescent="0.25">
      <c r="I36" s="1"/>
    </row>
  </sheetData>
  <phoneticPr fontId="5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G26"/>
  <sheetViews>
    <sheetView showGridLines="0" zoomScale="110" zoomScaleNormal="110" workbookViewId="0">
      <pane xSplit="2" ySplit="2" topLeftCell="C12" activePane="bottomRight" state="frozen"/>
      <selection activeCell="K93" sqref="K93"/>
      <selection pane="topRight" activeCell="K93" sqref="K93"/>
      <selection pane="bottomLeft" activeCell="K93" sqref="K93"/>
      <selection pane="bottomRight" activeCell="F29" sqref="F29"/>
    </sheetView>
  </sheetViews>
  <sheetFormatPr defaultColWidth="9" defaultRowHeight="15.75" outlineLevelRow="1" x14ac:dyDescent="0.25"/>
  <cols>
    <col min="1" max="1" width="9.125" style="3" bestFit="1" customWidth="1"/>
    <col min="2" max="2" width="18.25" style="3" customWidth="1"/>
    <col min="3" max="4" width="15.625" style="3" customWidth="1"/>
    <col min="5" max="5" width="10.25" style="3" bestFit="1" customWidth="1"/>
    <col min="6" max="6" width="15.625" style="3" customWidth="1"/>
    <col min="7" max="7" width="10.25" style="3" customWidth="1"/>
    <col min="8" max="16384" width="9" style="3"/>
  </cols>
  <sheetData>
    <row r="1" spans="1:7" ht="16.5" x14ac:dyDescent="0.25">
      <c r="B1" s="99" t="s">
        <v>138</v>
      </c>
      <c r="C1" s="13"/>
      <c r="F1" s="143" t="s">
        <v>126</v>
      </c>
      <c r="G1" s="143"/>
    </row>
    <row r="2" spans="1:7" ht="17.25" x14ac:dyDescent="0.25">
      <c r="B2" s="2" t="s">
        <v>127</v>
      </c>
      <c r="C2" s="4" t="s">
        <v>170</v>
      </c>
      <c r="D2" s="4" t="s">
        <v>171</v>
      </c>
      <c r="E2" s="11" t="s">
        <v>42</v>
      </c>
      <c r="F2" s="4" t="s">
        <v>169</v>
      </c>
      <c r="G2" s="11" t="s">
        <v>43</v>
      </c>
    </row>
    <row r="3" spans="1:7" ht="17.25" x14ac:dyDescent="0.25">
      <c r="A3" s="5">
        <v>2926</v>
      </c>
      <c r="B3" s="6" t="s">
        <v>128</v>
      </c>
      <c r="C3" s="93">
        <v>513902</v>
      </c>
      <c r="D3" s="93">
        <v>509311</v>
      </c>
      <c r="E3" s="12">
        <f>(C3-D3)/D3</f>
        <v>9.0141387089617154E-3</v>
      </c>
      <c r="F3" s="93">
        <v>584489</v>
      </c>
      <c r="G3" s="12">
        <f>(C3-F3)/F3</f>
        <v>-0.12076702897744868</v>
      </c>
    </row>
    <row r="4" spans="1:7" ht="17.25" hidden="1" outlineLevel="1" x14ac:dyDescent="0.25">
      <c r="A4" s="10">
        <v>2912</v>
      </c>
      <c r="B4" s="6" t="s">
        <v>44</v>
      </c>
      <c r="C4" s="93">
        <v>25704701</v>
      </c>
      <c r="D4" s="93">
        <v>25916306</v>
      </c>
      <c r="E4" s="12">
        <f>(C4-D4)/D4</f>
        <v>-8.1649367776410724E-3</v>
      </c>
      <c r="F4" s="93">
        <v>30573457</v>
      </c>
      <c r="G4" s="12">
        <f>(C4-F4)/F4</f>
        <v>-0.15924780766532223</v>
      </c>
    </row>
    <row r="5" spans="1:7" ht="17.25" collapsed="1" x14ac:dyDescent="0.25">
      <c r="A5" s="5">
        <v>2903</v>
      </c>
      <c r="B5" s="7" t="s">
        <v>45</v>
      </c>
      <c r="C5" s="93">
        <v>2197968</v>
      </c>
      <c r="D5" s="93">
        <v>2801156</v>
      </c>
      <c r="E5" s="12">
        <f t="shared" ref="E5:E24" si="0">(C5-D5)/D5</f>
        <v>-0.21533538296331942</v>
      </c>
      <c r="F5" s="93">
        <v>3292497</v>
      </c>
      <c r="G5" s="12">
        <f t="shared" ref="G5:G19" si="1">(C5-F5)/F5</f>
        <v>-0.33243128239752384</v>
      </c>
    </row>
    <row r="6" spans="1:7" ht="17.25" x14ac:dyDescent="0.25">
      <c r="A6" s="8">
        <v>5904</v>
      </c>
      <c r="B6" s="6" t="s">
        <v>46</v>
      </c>
      <c r="C6" s="93">
        <v>1964276</v>
      </c>
      <c r="D6" s="93">
        <v>2068029</v>
      </c>
      <c r="E6" s="12">
        <f>(C6-D6)/D6</f>
        <v>-5.0169992780565456E-2</v>
      </c>
      <c r="F6" s="93">
        <v>2419796</v>
      </c>
      <c r="G6" s="12">
        <f t="shared" si="1"/>
        <v>-0.18824727373712494</v>
      </c>
    </row>
    <row r="7" spans="1:7" ht="17.25" x14ac:dyDescent="0.25">
      <c r="A7" s="5">
        <v>5907</v>
      </c>
      <c r="B7" s="6" t="s">
        <v>47</v>
      </c>
      <c r="C7" s="93">
        <v>230936</v>
      </c>
      <c r="D7" s="93">
        <v>291814</v>
      </c>
      <c r="E7" s="12">
        <f t="shared" si="0"/>
        <v>-0.20861918893541775</v>
      </c>
      <c r="F7" s="93">
        <v>308109</v>
      </c>
      <c r="G7" s="12">
        <f t="shared" si="1"/>
        <v>-0.25047304687626781</v>
      </c>
    </row>
    <row r="8" spans="1:7" ht="17.25" x14ac:dyDescent="0.25">
      <c r="A8" s="9">
        <v>2942</v>
      </c>
      <c r="B8" s="6" t="s">
        <v>48</v>
      </c>
      <c r="C8" s="93">
        <v>103843</v>
      </c>
      <c r="D8" s="93">
        <v>114718</v>
      </c>
      <c r="E8" s="12">
        <f t="shared" si="0"/>
        <v>-9.4797677783782841E-2</v>
      </c>
      <c r="F8" s="93">
        <v>124234</v>
      </c>
      <c r="G8" s="12">
        <f t="shared" si="1"/>
        <v>-0.1641338119999356</v>
      </c>
    </row>
    <row r="9" spans="1:7" ht="17.25" x14ac:dyDescent="0.25">
      <c r="A9" s="5">
        <v>2707</v>
      </c>
      <c r="B9" s="7" t="s">
        <v>49</v>
      </c>
      <c r="C9" s="93">
        <v>534311</v>
      </c>
      <c r="D9" s="93">
        <v>568112</v>
      </c>
      <c r="E9" s="12">
        <f t="shared" si="0"/>
        <v>-5.9497071000084494E-2</v>
      </c>
      <c r="F9" s="93">
        <v>750051</v>
      </c>
      <c r="G9" s="12">
        <f t="shared" si="1"/>
        <v>-0.28763377423668524</v>
      </c>
    </row>
    <row r="10" spans="1:7" ht="17.25" x14ac:dyDescent="0.25">
      <c r="A10" s="5">
        <v>2704</v>
      </c>
      <c r="B10" s="7" t="s">
        <v>129</v>
      </c>
      <c r="C10" s="93">
        <v>110528</v>
      </c>
      <c r="D10" s="93">
        <v>118430</v>
      </c>
      <c r="E10" s="12">
        <f t="shared" si="0"/>
        <v>-6.6722958709786367E-2</v>
      </c>
      <c r="F10" s="93">
        <v>159887</v>
      </c>
      <c r="G10" s="12">
        <f t="shared" si="1"/>
        <v>-0.30871177769299568</v>
      </c>
    </row>
    <row r="11" spans="1:7" ht="17.25" x14ac:dyDescent="0.25">
      <c r="A11" s="10">
        <v>2739</v>
      </c>
      <c r="B11" s="7" t="s">
        <v>50</v>
      </c>
      <c r="C11" s="93">
        <v>386136</v>
      </c>
      <c r="D11" s="93">
        <v>423074</v>
      </c>
      <c r="E11" s="12">
        <f t="shared" si="0"/>
        <v>-8.7308603223076819E-2</v>
      </c>
      <c r="F11" s="93">
        <v>569509</v>
      </c>
      <c r="G11" s="12">
        <f t="shared" si="1"/>
        <v>-0.3219843760151288</v>
      </c>
    </row>
    <row r="12" spans="1:7" ht="17.25" x14ac:dyDescent="0.25">
      <c r="A12" s="10">
        <v>2748</v>
      </c>
      <c r="B12" s="7" t="s">
        <v>51</v>
      </c>
      <c r="C12" s="93">
        <v>178542</v>
      </c>
      <c r="D12" s="93">
        <v>228891</v>
      </c>
      <c r="E12" s="12">
        <f t="shared" si="0"/>
        <v>-0.21996933037996252</v>
      </c>
      <c r="F12" s="93">
        <v>357177</v>
      </c>
      <c r="G12" s="12">
        <f t="shared" si="1"/>
        <v>-0.50013018755406979</v>
      </c>
    </row>
    <row r="13" spans="1:7" ht="17.25" x14ac:dyDescent="0.25">
      <c r="A13" s="10">
        <v>2723</v>
      </c>
      <c r="B13" s="6" t="s">
        <v>130</v>
      </c>
      <c r="C13" s="93">
        <v>1463940</v>
      </c>
      <c r="D13" s="93">
        <v>1447031</v>
      </c>
      <c r="E13" s="12">
        <f t="shared" si="0"/>
        <v>1.1685305981696315E-2</v>
      </c>
      <c r="F13" s="93">
        <v>1623042</v>
      </c>
      <c r="G13" s="12">
        <f t="shared" si="1"/>
        <v>-9.8027038117313045E-2</v>
      </c>
    </row>
    <row r="14" spans="1:7" ht="17.25" x14ac:dyDescent="0.25">
      <c r="A14" s="10">
        <v>2727</v>
      </c>
      <c r="B14" s="6" t="s">
        <v>52</v>
      </c>
      <c r="C14" s="93">
        <v>1887401</v>
      </c>
      <c r="D14" s="93">
        <v>2027481</v>
      </c>
      <c r="E14" s="12">
        <f t="shared" si="0"/>
        <v>-6.9090659789166953E-2</v>
      </c>
      <c r="F14" s="93">
        <v>2213414</v>
      </c>
      <c r="G14" s="12">
        <f t="shared" si="1"/>
        <v>-0.1472896620334018</v>
      </c>
    </row>
    <row r="15" spans="1:7" ht="17.25" x14ac:dyDescent="0.25">
      <c r="A15" s="10">
        <v>1259</v>
      </c>
      <c r="B15" s="6" t="s">
        <v>131</v>
      </c>
      <c r="C15" s="93">
        <v>442735</v>
      </c>
      <c r="D15" s="93">
        <v>494983</v>
      </c>
      <c r="E15" s="12">
        <f t="shared" si="0"/>
        <v>-0.10555514027754488</v>
      </c>
      <c r="F15" s="93">
        <v>532865</v>
      </c>
      <c r="G15" s="12">
        <f t="shared" si="1"/>
        <v>-0.16914227806292401</v>
      </c>
    </row>
    <row r="16" spans="1:7" ht="17.25" x14ac:dyDescent="0.25">
      <c r="A16" s="10">
        <v>2729</v>
      </c>
      <c r="B16" s="6" t="s">
        <v>132</v>
      </c>
      <c r="C16" s="93">
        <v>469094</v>
      </c>
      <c r="D16" s="93">
        <v>638687</v>
      </c>
      <c r="E16" s="12">
        <f t="shared" si="0"/>
        <v>-0.26553382173114531</v>
      </c>
      <c r="F16" s="93">
        <v>680590</v>
      </c>
      <c r="G16" s="12">
        <f t="shared" si="1"/>
        <v>-0.31075390470033354</v>
      </c>
    </row>
    <row r="17" spans="1:7" ht="17.25" x14ac:dyDescent="0.25">
      <c r="A17" s="10">
        <v>8044</v>
      </c>
      <c r="B17" s="6" t="s">
        <v>53</v>
      </c>
      <c r="C17" s="93">
        <v>3091716</v>
      </c>
      <c r="D17" s="93">
        <v>3161589</v>
      </c>
      <c r="E17" s="12">
        <f t="shared" si="0"/>
        <v>-2.2100595618216031E-2</v>
      </c>
      <c r="F17" s="93">
        <v>2897240</v>
      </c>
      <c r="G17" s="12">
        <f t="shared" si="1"/>
        <v>6.7124573732241719E-2</v>
      </c>
    </row>
    <row r="18" spans="1:7" ht="17.25" x14ac:dyDescent="0.25">
      <c r="A18" s="10">
        <v>2362</v>
      </c>
      <c r="B18" s="6" t="s">
        <v>54</v>
      </c>
      <c r="C18" s="93">
        <v>1192934</v>
      </c>
      <c r="D18" s="93">
        <v>1454999</v>
      </c>
      <c r="E18" s="12">
        <f t="shared" si="0"/>
        <v>-0.18011352585122051</v>
      </c>
      <c r="F18" s="93">
        <v>1346876</v>
      </c>
      <c r="G18" s="12">
        <f t="shared" si="1"/>
        <v>-0.11429559959491445</v>
      </c>
    </row>
    <row r="19" spans="1:7" ht="17.25" x14ac:dyDescent="0.25">
      <c r="A19" s="10">
        <v>8454</v>
      </c>
      <c r="B19" s="6" t="s">
        <v>55</v>
      </c>
      <c r="C19" s="93">
        <v>8300701</v>
      </c>
      <c r="D19" s="93">
        <v>8188634</v>
      </c>
      <c r="E19" s="12">
        <f t="shared" si="0"/>
        <v>1.3685677000583981E-2</v>
      </c>
      <c r="F19" s="93">
        <v>9148350</v>
      </c>
      <c r="G19" s="12">
        <f t="shared" si="1"/>
        <v>-9.2655943421491305E-2</v>
      </c>
    </row>
    <row r="20" spans="1:7" ht="17.25" x14ac:dyDescent="0.25">
      <c r="A20" s="95">
        <v>5903</v>
      </c>
      <c r="B20" s="96" t="s">
        <v>133</v>
      </c>
      <c r="C20" s="93">
        <v>7714281</v>
      </c>
      <c r="D20" s="93">
        <v>7995632</v>
      </c>
      <c r="E20" s="12">
        <f t="shared" si="0"/>
        <v>-3.5188087695881949E-2</v>
      </c>
      <c r="F20" s="93">
        <v>8867118</v>
      </c>
      <c r="G20" s="12">
        <f t="shared" ref="G20:G25" si="2">(C20-F20)/F20</f>
        <v>-0.13001259259209136</v>
      </c>
    </row>
    <row r="21" spans="1:7" ht="17.25" x14ac:dyDescent="0.25">
      <c r="A21" s="95">
        <v>2945</v>
      </c>
      <c r="B21" s="96" t="s">
        <v>134</v>
      </c>
      <c r="C21" s="93">
        <v>1057772</v>
      </c>
      <c r="D21" s="93">
        <v>1116651</v>
      </c>
      <c r="E21" s="12">
        <f t="shared" si="0"/>
        <v>-5.272820245537773E-2</v>
      </c>
      <c r="F21" s="93">
        <v>1233728</v>
      </c>
      <c r="G21" s="12">
        <f t="shared" si="2"/>
        <v>-0.14262138818280853</v>
      </c>
    </row>
    <row r="22" spans="1:7" ht="16.5" x14ac:dyDescent="0.25">
      <c r="A22" s="95">
        <v>6741</v>
      </c>
      <c r="B22" s="96" t="s">
        <v>119</v>
      </c>
      <c r="C22" s="93">
        <v>132280</v>
      </c>
      <c r="D22" s="93">
        <v>113610</v>
      </c>
      <c r="E22" s="12">
        <f t="shared" si="0"/>
        <v>0.16433412551711998</v>
      </c>
      <c r="F22" s="93">
        <v>141483</v>
      </c>
      <c r="G22" s="12">
        <f t="shared" si="2"/>
        <v>-6.5046684053914602E-2</v>
      </c>
    </row>
    <row r="23" spans="1:7" ht="17.25" x14ac:dyDescent="0.25">
      <c r="A23" s="95">
        <v>8477</v>
      </c>
      <c r="B23" s="96" t="s">
        <v>135</v>
      </c>
      <c r="C23" s="93">
        <v>46120</v>
      </c>
      <c r="D23" s="93">
        <v>78014</v>
      </c>
      <c r="E23" s="12">
        <f t="shared" si="0"/>
        <v>-0.40882405722049886</v>
      </c>
      <c r="F23" s="93">
        <v>48013</v>
      </c>
      <c r="G23" s="12">
        <f t="shared" si="2"/>
        <v>-3.9426821902401432E-2</v>
      </c>
    </row>
    <row r="24" spans="1:7" ht="17.25" hidden="1" outlineLevel="1" x14ac:dyDescent="0.25">
      <c r="A24" s="95">
        <v>2758</v>
      </c>
      <c r="B24" s="96" t="s">
        <v>136</v>
      </c>
      <c r="C24" s="93">
        <v>199436</v>
      </c>
      <c r="D24" s="93">
        <v>171383</v>
      </c>
      <c r="E24" s="12">
        <f t="shared" si="0"/>
        <v>0.16368601319850859</v>
      </c>
      <c r="F24" s="93">
        <v>213818</v>
      </c>
      <c r="G24" s="12">
        <f t="shared" si="2"/>
        <v>-6.7262812298309771E-2</v>
      </c>
    </row>
    <row r="25" spans="1:7" ht="16.5" hidden="1" outlineLevel="1" collapsed="1" x14ac:dyDescent="0.25">
      <c r="A25" s="95">
        <v>7722</v>
      </c>
      <c r="B25" s="96" t="s">
        <v>139</v>
      </c>
      <c r="C25" s="93">
        <v>584539</v>
      </c>
      <c r="D25" s="93">
        <v>470477</v>
      </c>
      <c r="E25" s="12">
        <f>(C25-D25)/D25</f>
        <v>0.24243905653198775</v>
      </c>
      <c r="F25" s="93">
        <v>623342</v>
      </c>
      <c r="G25" s="12">
        <f t="shared" si="2"/>
        <v>-6.2249936631897096E-2</v>
      </c>
    </row>
    <row r="26" spans="1:7" collapsed="1" x14ac:dyDescent="0.25"/>
  </sheetData>
  <mergeCells count="1">
    <mergeCell ref="F1:G1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45719.754243055555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22756.25</v>
      </c>
      <c r="E6" s="94">
        <v>23053.18</v>
      </c>
      <c r="F6" s="33">
        <f>(D6-E6)/E6</f>
        <v>-1.2880218694340664E-2</v>
      </c>
      <c r="G6" s="34"/>
      <c r="H6" s="91">
        <f>ROUND(439596984655/100000000,2)</f>
        <v>4395.97</v>
      </c>
      <c r="I6" s="91">
        <v>5499.61</v>
      </c>
      <c r="J6" s="35">
        <f>+H6-I6</f>
        <v>-1103.6399999999994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23006.27</v>
      </c>
      <c r="E8" s="90">
        <v>22941.32</v>
      </c>
      <c r="F8" s="33">
        <f>(D8-E8)/E8</f>
        <v>2.8311361334047358E-3</v>
      </c>
      <c r="G8" s="34"/>
      <c r="H8" s="91">
        <v>3018.98</v>
      </c>
      <c r="I8" s="91">
        <v>4064.65</v>
      </c>
      <c r="J8" s="35">
        <f>+H8-I8</f>
        <v>-1045.67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今日收盤3/3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19.5" customHeight="1" outlineLevel="1" collapsed="1" x14ac:dyDescent="0.25">
      <c r="A13" s="59">
        <v>2926</v>
      </c>
      <c r="B13" s="57" t="s">
        <v>79</v>
      </c>
      <c r="C13" s="57"/>
      <c r="D13" s="60">
        <f>D59</f>
        <v>52.3</v>
      </c>
      <c r="E13" s="60">
        <f>I60</f>
        <v>52.1</v>
      </c>
      <c r="F13" s="61">
        <f>D13-E13</f>
        <v>0.19999999999999574</v>
      </c>
      <c r="G13" s="62">
        <f>F13/E13</f>
        <v>3.838771593090129E-3</v>
      </c>
      <c r="H13" s="63">
        <f>I59</f>
        <v>52.4</v>
      </c>
      <c r="I13" s="60">
        <f>J60</f>
        <v>51.5</v>
      </c>
      <c r="J13" s="60">
        <f>J59</f>
        <v>52.6</v>
      </c>
      <c r="K13" s="64">
        <f>D60</f>
        <v>41</v>
      </c>
      <c r="L13" s="64">
        <f>+O13*D13</f>
        <v>2478.4786950000002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265</v>
      </c>
      <c r="E14" s="60">
        <f>I64</f>
        <v>262.5</v>
      </c>
      <c r="F14" s="61">
        <f t="shared" ref="F14:F30" si="0">D14-E14</f>
        <v>2.5</v>
      </c>
      <c r="G14" s="62">
        <f>F14/E14</f>
        <v>9.5238095238095247E-3</v>
      </c>
      <c r="H14" s="63">
        <f>I63</f>
        <v>260.5</v>
      </c>
      <c r="I14" s="60">
        <f>J64</f>
        <v>260.5</v>
      </c>
      <c r="J14" s="60">
        <f>J63</f>
        <v>265.5</v>
      </c>
      <c r="K14" s="73">
        <f>D64</f>
        <v>2005</v>
      </c>
      <c r="L14" s="64">
        <f>+O14*D14</f>
        <v>275499.83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192</v>
      </c>
      <c r="E15" s="71">
        <f>$I$50</f>
        <v>190.5</v>
      </c>
      <c r="F15" s="61">
        <f>D15-E15</f>
        <v>1.5</v>
      </c>
      <c r="G15" s="62">
        <f>F15/E15</f>
        <v>7.874015748031496E-3</v>
      </c>
      <c r="H15" s="72">
        <f>$I$49</f>
        <v>190.5</v>
      </c>
      <c r="I15" s="60">
        <f>J50</f>
        <v>190.5</v>
      </c>
      <c r="J15" s="71">
        <f>$J$49</f>
        <v>192</v>
      </c>
      <c r="K15" s="73">
        <f>$D$50</f>
        <v>46</v>
      </c>
      <c r="L15" s="64">
        <f>D15*O15</f>
        <v>42858.239999999998</v>
      </c>
      <c r="M15" s="74"/>
      <c r="N15" s="74"/>
      <c r="O15" s="70">
        <v>223.22</v>
      </c>
      <c r="Q15" s="17"/>
      <c r="R15" s="17"/>
    </row>
    <row r="16" spans="1:27" s="75" customFormat="1" ht="19.5" customHeight="1" outlineLevel="1" x14ac:dyDescent="0.25">
      <c r="A16" s="76">
        <v>2945</v>
      </c>
      <c r="B16" s="57" t="s">
        <v>124</v>
      </c>
      <c r="C16" s="57"/>
      <c r="D16" s="71">
        <f>D47</f>
        <v>40.799999999999997</v>
      </c>
      <c r="E16" s="71">
        <f>I48</f>
        <v>41.1</v>
      </c>
      <c r="F16" s="61">
        <f>D16-E16</f>
        <v>-0.30000000000000426</v>
      </c>
      <c r="G16" s="62">
        <f>F16/E16</f>
        <v>-7.2992700729928046E-3</v>
      </c>
      <c r="H16" s="72">
        <f>I47</f>
        <v>40.25</v>
      </c>
      <c r="I16" s="60">
        <f>J48</f>
        <v>40.15</v>
      </c>
      <c r="J16" s="71">
        <f>J47</f>
        <v>40.799999999999997</v>
      </c>
      <c r="K16" s="73">
        <f>D48</f>
        <v>12</v>
      </c>
      <c r="L16" s="64">
        <f>D16*O16</f>
        <v>2754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24.3</v>
      </c>
      <c r="E17" s="60">
        <f>I66</f>
        <v>24.2</v>
      </c>
      <c r="F17" s="61">
        <f t="shared" si="0"/>
        <v>0.10000000000000142</v>
      </c>
      <c r="G17" s="62">
        <f t="shared" ref="G17:G22" si="1">F17/E17</f>
        <v>4.1322314049587368E-3</v>
      </c>
      <c r="H17" s="63">
        <f>I65</f>
        <v>24.2</v>
      </c>
      <c r="I17" s="60">
        <f>J66</f>
        <v>23.85</v>
      </c>
      <c r="J17" s="60">
        <f>J65</f>
        <v>24.4</v>
      </c>
      <c r="K17" s="64">
        <f>D66</f>
        <v>3301</v>
      </c>
      <c r="L17" s="64">
        <f>+O17*D17</f>
        <v>34431.666300000004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522</v>
      </c>
      <c r="E18" s="60">
        <f>I68</f>
        <v>519</v>
      </c>
      <c r="F18" s="61">
        <f t="shared" si="0"/>
        <v>3</v>
      </c>
      <c r="G18" s="62">
        <f t="shared" si="1"/>
        <v>5.7803468208092483E-3</v>
      </c>
      <c r="H18" s="63">
        <f>I67</f>
        <v>514</v>
      </c>
      <c r="I18" s="60">
        <f>J68</f>
        <v>513</v>
      </c>
      <c r="J18" s="60">
        <f>J67</f>
        <v>524</v>
      </c>
      <c r="K18" s="64">
        <f>D68</f>
        <v>368</v>
      </c>
      <c r="L18" s="64">
        <f>+O18*D18</f>
        <v>54776.592000000004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10.35</v>
      </c>
      <c r="E19" s="60">
        <f>I70</f>
        <v>10.55</v>
      </c>
      <c r="F19" s="61">
        <f t="shared" si="0"/>
        <v>-0.20000000000000107</v>
      </c>
      <c r="G19" s="62">
        <f>F19/E19</f>
        <v>-1.895734597156408E-2</v>
      </c>
      <c r="H19" s="63">
        <f>I69</f>
        <v>10.5</v>
      </c>
      <c r="I19" s="60">
        <f>J70</f>
        <v>10.35</v>
      </c>
      <c r="J19" s="60">
        <f>J69</f>
        <v>10.5</v>
      </c>
      <c r="K19" s="64">
        <f>D70</f>
        <v>195</v>
      </c>
      <c r="L19" s="64">
        <f>+O19*D19</f>
        <v>2023.74585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36.049999999999997</v>
      </c>
      <c r="E20" s="60">
        <f>I62</f>
        <v>36.049999999999997</v>
      </c>
      <c r="F20" s="61">
        <f>D20-E20</f>
        <v>0</v>
      </c>
      <c r="G20" s="62">
        <f>F20/E20</f>
        <v>0</v>
      </c>
      <c r="H20" s="63">
        <f>I61</f>
        <v>36.049999999999997</v>
      </c>
      <c r="I20" s="60">
        <f>J62</f>
        <v>36.049999999999997</v>
      </c>
      <c r="J20" s="60">
        <f>J61</f>
        <v>36.049999999999997</v>
      </c>
      <c r="K20" s="64">
        <f>D62</f>
        <v>0</v>
      </c>
      <c r="L20" s="64">
        <f>O20*D20</f>
        <v>2163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197</v>
      </c>
      <c r="E21" s="60">
        <f>I72</f>
        <v>199</v>
      </c>
      <c r="F21" s="61">
        <f t="shared" si="0"/>
        <v>-2</v>
      </c>
      <c r="G21" s="62">
        <f t="shared" si="1"/>
        <v>-1.0050251256281407E-2</v>
      </c>
      <c r="H21" s="63">
        <f>I71</f>
        <v>199</v>
      </c>
      <c r="I21" s="60">
        <f>J72</f>
        <v>197</v>
      </c>
      <c r="J21" s="60">
        <f>J71</f>
        <v>199.5</v>
      </c>
      <c r="K21" s="64">
        <f>D72</f>
        <v>159</v>
      </c>
      <c r="L21" s="64">
        <f t="shared" ref="L21:L28" si="2">+O21*D21</f>
        <v>25098.391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55.4</v>
      </c>
      <c r="E22" s="60">
        <f>I74</f>
        <v>56.7</v>
      </c>
      <c r="F22" s="61">
        <f t="shared" si="0"/>
        <v>-1.3000000000000043</v>
      </c>
      <c r="G22" s="62">
        <f t="shared" si="1"/>
        <v>-2.2927689594356336E-2</v>
      </c>
      <c r="H22" s="63">
        <f>I73</f>
        <v>54.8</v>
      </c>
      <c r="I22" s="60">
        <f>J74</f>
        <v>54.8</v>
      </c>
      <c r="J22" s="60">
        <f>J73</f>
        <v>56</v>
      </c>
      <c r="K22" s="64">
        <f>D74</f>
        <v>70</v>
      </c>
      <c r="L22" s="64">
        <f t="shared" si="2"/>
        <v>20327.4978022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52</v>
      </c>
      <c r="E23" s="60">
        <f>I56</f>
        <v>51.8</v>
      </c>
      <c r="F23" s="61">
        <f>D23-E23</f>
        <v>0.20000000000000284</v>
      </c>
      <c r="G23" s="62">
        <f>F23/E23</f>
        <v>3.8610038610039162E-3</v>
      </c>
      <c r="H23" s="63">
        <f>I55</f>
        <v>51.8</v>
      </c>
      <c r="I23" s="60">
        <f>J56</f>
        <v>51</v>
      </c>
      <c r="J23" s="60">
        <f>J55</f>
        <v>52.2</v>
      </c>
      <c r="K23" s="64">
        <f>D56</f>
        <v>200</v>
      </c>
      <c r="L23" s="64">
        <f t="shared" si="2"/>
        <v>4759.3519999999999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61.6</v>
      </c>
      <c r="E24" s="60">
        <f>I58</f>
        <v>61.5</v>
      </c>
      <c r="F24" s="68">
        <f t="shared" si="0"/>
        <v>0.10000000000000142</v>
      </c>
      <c r="G24" s="69">
        <f>F24/E24</f>
        <v>1.6260162601626248E-3</v>
      </c>
      <c r="H24" s="63">
        <f>I57</f>
        <v>61.5</v>
      </c>
      <c r="I24" s="60">
        <f>J58</f>
        <v>61</v>
      </c>
      <c r="J24" s="60">
        <f>J57</f>
        <v>62.4</v>
      </c>
      <c r="K24" s="64">
        <f>D58</f>
        <v>268</v>
      </c>
      <c r="L24" s="64">
        <f t="shared" si="2"/>
        <v>6515.9863999999998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102.5</v>
      </c>
      <c r="E25" s="71">
        <f>I76</f>
        <v>101.5</v>
      </c>
      <c r="F25" s="68">
        <f t="shared" si="0"/>
        <v>1</v>
      </c>
      <c r="G25" s="69">
        <f t="shared" ref="G25:G31" si="3">F25/E25</f>
        <v>9.852216748768473E-3</v>
      </c>
      <c r="H25" s="72">
        <f>I75</f>
        <v>101.5</v>
      </c>
      <c r="I25" s="60">
        <f>J76</f>
        <v>100</v>
      </c>
      <c r="J25" s="71">
        <f>J75</f>
        <v>102.5</v>
      </c>
      <c r="K25" s="73">
        <f>D76</f>
        <v>410</v>
      </c>
      <c r="L25" s="64">
        <f t="shared" si="2"/>
        <v>18450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235.5</v>
      </c>
      <c r="E26" s="71">
        <f>I78</f>
        <v>236</v>
      </c>
      <c r="F26" s="68">
        <f t="shared" si="0"/>
        <v>-0.5</v>
      </c>
      <c r="G26" s="69">
        <f t="shared" si="3"/>
        <v>-2.1186440677966102E-3</v>
      </c>
      <c r="H26" s="72">
        <f>I77</f>
        <v>235</v>
      </c>
      <c r="I26" s="71">
        <f>J78</f>
        <v>233</v>
      </c>
      <c r="J26" s="71">
        <f>J77</f>
        <v>235.5</v>
      </c>
      <c r="K26" s="73">
        <f>D78</f>
        <v>211</v>
      </c>
      <c r="L26" s="64">
        <f t="shared" si="2"/>
        <v>19888.210499999997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64.3</v>
      </c>
      <c r="E27" s="71">
        <f>I80</f>
        <v>64.3</v>
      </c>
      <c r="F27" s="68">
        <f>D27-E27</f>
        <v>0</v>
      </c>
      <c r="G27" s="69">
        <f>F27/E27</f>
        <v>0</v>
      </c>
      <c r="H27" s="72">
        <f>I79</f>
        <v>64.400000000000006</v>
      </c>
      <c r="I27" s="71">
        <f>J80</f>
        <v>64.3</v>
      </c>
      <c r="J27" s="71">
        <f>J79</f>
        <v>64.400000000000006</v>
      </c>
      <c r="K27" s="73">
        <f>D80</f>
        <v>2</v>
      </c>
      <c r="L27" s="64">
        <f t="shared" si="2"/>
        <v>2082.6448499999997</v>
      </c>
      <c r="M27" s="74"/>
      <c r="N27" s="74"/>
      <c r="O27" s="70">
        <v>32.389499999999998</v>
      </c>
      <c r="Q27" s="17"/>
      <c r="R27" s="17"/>
    </row>
    <row r="28" spans="1:18" s="75" customFormat="1" ht="19.5" customHeight="1" outlineLevel="1" x14ac:dyDescent="0.25">
      <c r="A28" s="76">
        <v>2729</v>
      </c>
      <c r="B28" s="57" t="s">
        <v>7</v>
      </c>
      <c r="C28" s="57"/>
      <c r="D28" s="71">
        <f>D81</f>
        <v>208</v>
      </c>
      <c r="E28" s="71">
        <f>I82</f>
        <v>208</v>
      </c>
      <c r="F28" s="68">
        <f t="shared" si="0"/>
        <v>0</v>
      </c>
      <c r="G28" s="69">
        <f t="shared" si="3"/>
        <v>0</v>
      </c>
      <c r="H28" s="72">
        <f>I81</f>
        <v>207.5</v>
      </c>
      <c r="I28" s="71">
        <f>J82</f>
        <v>205</v>
      </c>
      <c r="J28" s="71">
        <f>J81</f>
        <v>208</v>
      </c>
      <c r="K28" s="73">
        <f>D82</f>
        <v>32</v>
      </c>
      <c r="L28" s="64">
        <f t="shared" si="2"/>
        <v>8216.2079999999987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99.5</v>
      </c>
      <c r="E29" s="71">
        <f>I46</f>
        <v>97.23</v>
      </c>
      <c r="F29" s="68">
        <f>D29-E29</f>
        <v>2.269999999999996</v>
      </c>
      <c r="G29" s="69">
        <f>F29/E29</f>
        <v>2.3346703692276004E-2</v>
      </c>
      <c r="H29" s="72">
        <f>I45</f>
        <v>98.3</v>
      </c>
      <c r="I29" s="71">
        <f>J46</f>
        <v>97.1</v>
      </c>
      <c r="J29" s="71">
        <f>J45</f>
        <v>99.5</v>
      </c>
      <c r="K29" s="73">
        <f>D46</f>
        <v>42</v>
      </c>
      <c r="L29" s="64">
        <f>+D29*O29</f>
        <v>2038.3690395000001</v>
      </c>
      <c r="M29" s="74"/>
      <c r="N29" s="74"/>
      <c r="O29" s="70">
        <v>20.486121000000001</v>
      </c>
      <c r="Q29" s="17"/>
      <c r="R29" s="17"/>
    </row>
    <row r="30" spans="1:18" s="75" customFormat="1" ht="19.5" customHeight="1" outlineLevel="1" x14ac:dyDescent="0.25">
      <c r="A30" s="76">
        <v>8044</v>
      </c>
      <c r="B30" s="57" t="s">
        <v>91</v>
      </c>
      <c r="C30" s="57"/>
      <c r="D30" s="71">
        <f>D87</f>
        <v>44</v>
      </c>
      <c r="E30" s="71">
        <f>I88</f>
        <v>44.4</v>
      </c>
      <c r="F30" s="68">
        <f t="shared" si="0"/>
        <v>-0.39999999999999858</v>
      </c>
      <c r="G30" s="69">
        <f t="shared" si="3"/>
        <v>-9.0090090090089777E-3</v>
      </c>
      <c r="H30" s="72">
        <f>I87</f>
        <v>44.45</v>
      </c>
      <c r="I30" s="71">
        <f>J88</f>
        <v>43.2</v>
      </c>
      <c r="J30" s="71">
        <f>J87</f>
        <v>45.75</v>
      </c>
      <c r="K30" s="73">
        <f>D88</f>
        <v>905</v>
      </c>
      <c r="L30" s="64">
        <f>D30*O30</f>
        <v>6333.9319999999998</v>
      </c>
      <c r="M30" s="74"/>
      <c r="N30" s="74"/>
      <c r="O30" s="70">
        <v>143.953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49.15</v>
      </c>
      <c r="E31" s="71">
        <f>I86</f>
        <v>49.45</v>
      </c>
      <c r="F31" s="68">
        <f>D31-E31</f>
        <v>-0.30000000000000426</v>
      </c>
      <c r="G31" s="69">
        <f t="shared" si="3"/>
        <v>-6.0667340748231397E-3</v>
      </c>
      <c r="H31" s="72">
        <f>I85</f>
        <v>49.45</v>
      </c>
      <c r="I31" s="71">
        <f>J86</f>
        <v>48.35</v>
      </c>
      <c r="J31" s="71">
        <f>J85</f>
        <v>49.45</v>
      </c>
      <c r="K31" s="73">
        <f>D86</f>
        <v>945</v>
      </c>
      <c r="L31" s="64">
        <f>+O31*D31</f>
        <v>31075.726450000002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385.5</v>
      </c>
      <c r="E32" s="71">
        <f>I90</f>
        <v>386.5</v>
      </c>
      <c r="F32" s="68">
        <f>D32-E32</f>
        <v>-1</v>
      </c>
      <c r="G32" s="69">
        <f>F32/E32</f>
        <v>-2.5873221216041399E-3</v>
      </c>
      <c r="H32" s="72">
        <f>I89</f>
        <v>380.5</v>
      </c>
      <c r="I32" s="71">
        <f>J90</f>
        <v>379.5</v>
      </c>
      <c r="J32" s="71">
        <f>J89</f>
        <v>386</v>
      </c>
      <c r="K32" s="73">
        <f>D90</f>
        <v>307</v>
      </c>
      <c r="L32" s="64">
        <f>+O32*D32</f>
        <v>97283.623500000002</v>
      </c>
      <c r="M32" s="74"/>
      <c r="N32" s="74"/>
      <c r="O32" s="70">
        <v>252.357</v>
      </c>
      <c r="Q32" s="17"/>
      <c r="R32" s="17"/>
    </row>
    <row r="33" spans="1:25" s="75" customFormat="1" ht="19.5" customHeight="1" outlineLevel="1" x14ac:dyDescent="0.25">
      <c r="A33" s="76">
        <v>8477</v>
      </c>
      <c r="B33" s="57" t="s">
        <v>118</v>
      </c>
      <c r="C33" s="57"/>
      <c r="D33" s="71">
        <f>D53</f>
        <v>13</v>
      </c>
      <c r="E33" s="71">
        <f>I54</f>
        <v>13.2</v>
      </c>
      <c r="F33" s="68">
        <f>D33-E33</f>
        <v>-0.19999999999999929</v>
      </c>
      <c r="G33" s="69">
        <f>F33/E33</f>
        <v>-1.5151515151515098E-2</v>
      </c>
      <c r="H33" s="72">
        <f>I53</f>
        <v>13.2</v>
      </c>
      <c r="I33" s="71">
        <f>J54</f>
        <v>12.8</v>
      </c>
      <c r="J33" s="71">
        <f>J53</f>
        <v>13.2</v>
      </c>
      <c r="K33" s="73">
        <f>D54</f>
        <v>33</v>
      </c>
      <c r="L33" s="64">
        <f>+O33*D33</f>
        <v>834.22300000000007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100</v>
      </c>
      <c r="E34" s="71">
        <f>$I$52</f>
        <v>101.5</v>
      </c>
      <c r="F34" s="68">
        <f>D34-E34</f>
        <v>-1.5</v>
      </c>
      <c r="G34" s="69">
        <f>F34/E34</f>
        <v>-1.4778325123152709E-2</v>
      </c>
      <c r="H34" s="72">
        <f>$I$51</f>
        <v>99.9</v>
      </c>
      <c r="I34" s="71">
        <f>J52</f>
        <v>99.9</v>
      </c>
      <c r="J34" s="71">
        <f>$J$51</f>
        <v>101.5</v>
      </c>
      <c r="K34" s="73">
        <f>$D$52</f>
        <v>371</v>
      </c>
      <c r="L34" s="64">
        <f>+O34*D34</f>
        <v>12057.800000000001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818</v>
      </c>
      <c r="E35" s="71">
        <f>I92</f>
        <v>769</v>
      </c>
      <c r="F35" s="68">
        <f>D35-E35</f>
        <v>49</v>
      </c>
      <c r="G35" s="69">
        <f>F35/E35</f>
        <v>6.3719115734720416E-2</v>
      </c>
      <c r="H35" s="72">
        <f>I91</f>
        <v>764</v>
      </c>
      <c r="I35" s="71">
        <f>J92</f>
        <v>763</v>
      </c>
      <c r="J35" s="71">
        <f>J91</f>
        <v>828</v>
      </c>
      <c r="K35" s="73">
        <f>D92</f>
        <v>381</v>
      </c>
      <c r="L35" s="64">
        <f>+O35*D35</f>
        <v>55624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9.5000000000000001E-2</v>
      </c>
      <c r="E38" s="60">
        <f>M94</f>
        <v>9.7000000000000003E-2</v>
      </c>
      <c r="F38" s="61">
        <f>D38-E38</f>
        <v>-2.0000000000000018E-3</v>
      </c>
      <c r="G38" s="62">
        <f>F38/E38</f>
        <v>-2.0618556701030945E-2</v>
      </c>
      <c r="H38" s="63">
        <f>J94</f>
        <v>9.9000000000000005E-2</v>
      </c>
      <c r="I38" s="60">
        <f>L94</f>
        <v>9.4E-2</v>
      </c>
      <c r="J38" s="60">
        <f>K94</f>
        <v>9.9000000000000005E-2</v>
      </c>
      <c r="K38" s="64">
        <f>I94</f>
        <v>4490</v>
      </c>
      <c r="L38" s="64">
        <f>+O38*D38</f>
        <v>250.28054000000003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0.27</v>
      </c>
      <c r="E39" s="60">
        <f>M95</f>
        <v>0.28000000000000003</v>
      </c>
      <c r="F39" s="61">
        <f>D39-E39</f>
        <v>-1.0000000000000009E-2</v>
      </c>
      <c r="G39" s="77">
        <f>F39/E39</f>
        <v>-3.571428571428574E-2</v>
      </c>
      <c r="H39" s="63">
        <f>J95</f>
        <v>0.28000000000000003</v>
      </c>
      <c r="I39" s="60">
        <f>L95</f>
        <v>0.27</v>
      </c>
      <c r="J39" s="60">
        <f>K95</f>
        <v>0.3</v>
      </c>
      <c r="K39" s="64">
        <f>I95</f>
        <v>126</v>
      </c>
      <c r="L39" s="64">
        <f>+O39*D39</f>
        <v>455.25915000000003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0.62027777777777782</v>
      </c>
      <c r="D45" s="103">
        <v>99.5</v>
      </c>
      <c r="E45" s="103">
        <v>1.47</v>
      </c>
      <c r="F45" s="103">
        <v>98.7</v>
      </c>
      <c r="G45" s="103">
        <v>99.5</v>
      </c>
      <c r="H45" s="103">
        <v>13</v>
      </c>
      <c r="I45" s="103">
        <v>98.3</v>
      </c>
      <c r="J45" s="103">
        <v>99.5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42</v>
      </c>
      <c r="E46" s="104">
        <v>1.5100000000000001E-2</v>
      </c>
      <c r="F46" s="105">
        <v>4588</v>
      </c>
      <c r="G46" s="105">
        <v>2477</v>
      </c>
      <c r="H46" s="103">
        <v>26</v>
      </c>
      <c r="I46" s="103">
        <v>97.23</v>
      </c>
      <c r="J46" s="103">
        <v>97.1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0.55489583333333337</v>
      </c>
      <c r="D47" s="103">
        <v>40.799999999999997</v>
      </c>
      <c r="E47" s="103">
        <v>-0.3</v>
      </c>
      <c r="F47" s="103">
        <v>40.799999999999997</v>
      </c>
      <c r="G47" s="103">
        <v>41.1</v>
      </c>
      <c r="H47" s="103">
        <v>12</v>
      </c>
      <c r="I47" s="103">
        <v>40.25</v>
      </c>
      <c r="J47" s="103">
        <v>40.799999999999997</v>
      </c>
      <c r="K47" s="103">
        <v>45.2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12</v>
      </c>
      <c r="E48" s="104">
        <v>-7.3000000000000001E-3</v>
      </c>
      <c r="F48" s="103">
        <v>8</v>
      </c>
      <c r="G48" s="103">
        <v>2</v>
      </c>
      <c r="H48" s="103" t="s">
        <v>14</v>
      </c>
      <c r="I48" s="103">
        <v>41.1</v>
      </c>
      <c r="J48" s="103">
        <v>40.15</v>
      </c>
      <c r="K48" s="103">
        <v>37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192</v>
      </c>
      <c r="E49" s="103">
        <v>1.5</v>
      </c>
      <c r="F49" s="103">
        <v>191.5</v>
      </c>
      <c r="G49" s="103">
        <v>192</v>
      </c>
      <c r="H49" s="103">
        <v>18</v>
      </c>
      <c r="I49" s="103">
        <v>190.5</v>
      </c>
      <c r="J49" s="103">
        <v>192</v>
      </c>
      <c r="K49" s="103">
        <v>209.5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46</v>
      </c>
      <c r="E50" s="104">
        <v>7.9000000000000008E-3</v>
      </c>
      <c r="F50" s="103">
        <v>1</v>
      </c>
      <c r="G50" s="103">
        <v>6</v>
      </c>
      <c r="H50" s="103">
        <v>26</v>
      </c>
      <c r="I50" s="103">
        <v>190.5</v>
      </c>
      <c r="J50" s="103">
        <v>190.5</v>
      </c>
      <c r="K50" s="103">
        <v>171.5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0.60416666666666663</v>
      </c>
      <c r="D51" s="103">
        <v>100</v>
      </c>
      <c r="E51" s="103">
        <v>-1.5</v>
      </c>
      <c r="F51" s="103">
        <v>100</v>
      </c>
      <c r="G51" s="103">
        <v>100.5</v>
      </c>
      <c r="H51" s="105">
        <v>262</v>
      </c>
      <c r="I51" s="103">
        <v>99.9</v>
      </c>
      <c r="J51" s="103">
        <v>101.5</v>
      </c>
      <c r="K51" s="103">
        <v>111.5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371</v>
      </c>
      <c r="E52" s="104">
        <v>-1.4800000000000001E-2</v>
      </c>
      <c r="F52" s="103">
        <v>3</v>
      </c>
      <c r="G52" s="103">
        <v>6</v>
      </c>
      <c r="H52" s="105">
        <v>99</v>
      </c>
      <c r="I52" s="103">
        <v>101.5</v>
      </c>
      <c r="J52" s="103">
        <v>99.9</v>
      </c>
      <c r="K52" s="103">
        <v>91.4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0.55611111111111111</v>
      </c>
      <c r="D53" s="103">
        <v>13</v>
      </c>
      <c r="E53" s="103">
        <v>-0.2</v>
      </c>
      <c r="F53" s="103">
        <v>12.85</v>
      </c>
      <c r="G53" s="103">
        <v>13</v>
      </c>
      <c r="H53" s="103">
        <v>17</v>
      </c>
      <c r="I53" s="103">
        <v>13.2</v>
      </c>
      <c r="J53" s="103">
        <v>13.2</v>
      </c>
      <c r="K53" s="103">
        <v>14.5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33</v>
      </c>
      <c r="E54" s="104">
        <v>-1.52E-2</v>
      </c>
      <c r="F54" s="103">
        <v>1</v>
      </c>
      <c r="G54" s="103">
        <v>3</v>
      </c>
      <c r="H54" s="103">
        <v>16</v>
      </c>
      <c r="I54" s="103">
        <v>13.2</v>
      </c>
      <c r="J54" s="103">
        <v>12.8</v>
      </c>
      <c r="K54" s="103">
        <v>11.9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52</v>
      </c>
      <c r="E55" s="103">
        <v>0.2</v>
      </c>
      <c r="F55" s="103">
        <v>51.9</v>
      </c>
      <c r="G55" s="103">
        <v>52.1</v>
      </c>
      <c r="H55" s="105">
        <v>83</v>
      </c>
      <c r="I55" s="103">
        <v>51.8</v>
      </c>
      <c r="J55" s="103">
        <v>52.2</v>
      </c>
      <c r="K55" s="103">
        <v>56.9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200</v>
      </c>
      <c r="E56" s="104">
        <v>3.8999999999999998E-3</v>
      </c>
      <c r="F56" s="103">
        <v>1</v>
      </c>
      <c r="G56" s="103">
        <v>1</v>
      </c>
      <c r="H56" s="105">
        <v>116</v>
      </c>
      <c r="I56" s="103">
        <v>51.8</v>
      </c>
      <c r="J56" s="103">
        <v>51</v>
      </c>
      <c r="K56" s="103">
        <v>46.65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0.5625</v>
      </c>
      <c r="D57" s="103">
        <v>61.6</v>
      </c>
      <c r="E57" s="103">
        <v>0.1</v>
      </c>
      <c r="F57" s="103">
        <v>61.5</v>
      </c>
      <c r="G57" s="103">
        <v>61.6</v>
      </c>
      <c r="H57" s="105">
        <v>153</v>
      </c>
      <c r="I57" s="103">
        <v>61.5</v>
      </c>
      <c r="J57" s="103">
        <v>62.4</v>
      </c>
      <c r="K57" s="103">
        <v>67.599999999999994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268</v>
      </c>
      <c r="E58" s="104">
        <v>1.6000000000000001E-3</v>
      </c>
      <c r="F58" s="103">
        <v>1</v>
      </c>
      <c r="G58" s="103">
        <v>3</v>
      </c>
      <c r="H58" s="105">
        <v>109</v>
      </c>
      <c r="I58" s="103">
        <v>61.5</v>
      </c>
      <c r="J58" s="103">
        <v>61</v>
      </c>
      <c r="K58" s="103">
        <v>55.4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0.55563657407407407</v>
      </c>
      <c r="D59" s="103">
        <v>52.3</v>
      </c>
      <c r="E59" s="103">
        <v>0.2</v>
      </c>
      <c r="F59" s="103">
        <v>51.7</v>
      </c>
      <c r="G59" s="103">
        <v>51.9</v>
      </c>
      <c r="H59" s="103">
        <v>15</v>
      </c>
      <c r="I59" s="103">
        <v>52.4</v>
      </c>
      <c r="J59" s="103">
        <v>52.6</v>
      </c>
      <c r="K59" s="103">
        <v>57.3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41</v>
      </c>
      <c r="E60" s="104">
        <v>3.8E-3</v>
      </c>
      <c r="F60" s="103">
        <v>1</v>
      </c>
      <c r="G60" s="103">
        <v>1</v>
      </c>
      <c r="H60" s="103">
        <v>26</v>
      </c>
      <c r="I60" s="103">
        <v>52.1</v>
      </c>
      <c r="J60" s="103">
        <v>51.5</v>
      </c>
      <c r="K60" s="103">
        <v>46.9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0.58270833333333327</v>
      </c>
      <c r="D61" s="103">
        <v>36.049999999999997</v>
      </c>
      <c r="E61" s="103" t="s">
        <v>14</v>
      </c>
      <c r="F61" s="103">
        <v>35.6</v>
      </c>
      <c r="G61" s="103">
        <v>36.049999999999997</v>
      </c>
      <c r="H61" s="103" t="s">
        <v>14</v>
      </c>
      <c r="I61" s="103">
        <v>36.049999999999997</v>
      </c>
      <c r="J61" s="103">
        <v>36.049999999999997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0</v>
      </c>
      <c r="E62" s="104" t="s">
        <v>14</v>
      </c>
      <c r="F62" s="105">
        <v>3000</v>
      </c>
      <c r="G62" s="105">
        <v>2350</v>
      </c>
      <c r="H62" s="103" t="s">
        <v>14</v>
      </c>
      <c r="I62" s="103">
        <v>36.049999999999997</v>
      </c>
      <c r="J62" s="103">
        <v>36.049999999999997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0.60416666666666663</v>
      </c>
      <c r="D63" s="103">
        <v>265</v>
      </c>
      <c r="E63" s="103">
        <v>2.5</v>
      </c>
      <c r="F63" s="103">
        <v>264.5</v>
      </c>
      <c r="G63" s="103">
        <v>265</v>
      </c>
      <c r="H63" s="105">
        <v>406</v>
      </c>
      <c r="I63" s="103">
        <v>260.5</v>
      </c>
      <c r="J63" s="103">
        <v>265.5</v>
      </c>
      <c r="K63" s="103">
        <v>288.5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2005</v>
      </c>
      <c r="E64" s="104">
        <v>9.4999999999999998E-3</v>
      </c>
      <c r="F64" s="103">
        <v>6</v>
      </c>
      <c r="G64" s="103">
        <v>12</v>
      </c>
      <c r="H64" s="105">
        <v>1438</v>
      </c>
      <c r="I64" s="103">
        <v>262.5</v>
      </c>
      <c r="J64" s="103">
        <v>260.5</v>
      </c>
      <c r="K64" s="103">
        <v>236.5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24.3</v>
      </c>
      <c r="E65" s="103">
        <v>0.1</v>
      </c>
      <c r="F65" s="103">
        <v>24.25</v>
      </c>
      <c r="G65" s="103">
        <v>24.3</v>
      </c>
      <c r="H65" s="105">
        <v>1547</v>
      </c>
      <c r="I65" s="103">
        <v>24.2</v>
      </c>
      <c r="J65" s="103">
        <v>24.4</v>
      </c>
      <c r="K65" s="103">
        <v>26.6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3301</v>
      </c>
      <c r="E66" s="104">
        <v>4.1000000000000003E-3</v>
      </c>
      <c r="F66" s="103">
        <v>59</v>
      </c>
      <c r="G66" s="103">
        <v>30</v>
      </c>
      <c r="H66" s="105">
        <v>1675</v>
      </c>
      <c r="I66" s="103">
        <v>24.2</v>
      </c>
      <c r="J66" s="103">
        <v>23.85</v>
      </c>
      <c r="K66" s="103">
        <v>21.8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522</v>
      </c>
      <c r="E67" s="103">
        <v>3</v>
      </c>
      <c r="F67" s="103">
        <v>521</v>
      </c>
      <c r="G67" s="103">
        <v>522</v>
      </c>
      <c r="H67" s="103">
        <v>146</v>
      </c>
      <c r="I67" s="103">
        <v>514</v>
      </c>
      <c r="J67" s="103">
        <v>524</v>
      </c>
      <c r="K67" s="103">
        <v>570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368</v>
      </c>
      <c r="E68" s="104">
        <v>5.7999999999999996E-3</v>
      </c>
      <c r="F68" s="103">
        <v>1</v>
      </c>
      <c r="G68" s="103">
        <v>16</v>
      </c>
      <c r="H68" s="103">
        <v>213</v>
      </c>
      <c r="I68" s="103">
        <v>519</v>
      </c>
      <c r="J68" s="103">
        <v>513</v>
      </c>
      <c r="K68" s="103">
        <v>467.5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10.35</v>
      </c>
      <c r="E69" s="103">
        <v>-0.2</v>
      </c>
      <c r="F69" s="103">
        <v>10.35</v>
      </c>
      <c r="G69" s="103">
        <v>10.4</v>
      </c>
      <c r="H69" s="105">
        <v>110</v>
      </c>
      <c r="I69" s="103">
        <v>10.5</v>
      </c>
      <c r="J69" s="103">
        <v>10.5</v>
      </c>
      <c r="K69" s="103">
        <v>11.6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195</v>
      </c>
      <c r="E70" s="104">
        <v>-1.9E-2</v>
      </c>
      <c r="F70" s="103">
        <v>4</v>
      </c>
      <c r="G70" s="103">
        <v>4</v>
      </c>
      <c r="H70" s="105">
        <v>79</v>
      </c>
      <c r="I70" s="103">
        <v>10.55</v>
      </c>
      <c r="J70" s="103">
        <v>10.35</v>
      </c>
      <c r="K70" s="103">
        <v>9.5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0.60416666666666663</v>
      </c>
      <c r="D71" s="103">
        <v>197</v>
      </c>
      <c r="E71" s="103">
        <v>-2</v>
      </c>
      <c r="F71" s="103">
        <v>197</v>
      </c>
      <c r="G71" s="103">
        <v>197.5</v>
      </c>
      <c r="H71" s="103">
        <v>93</v>
      </c>
      <c r="I71" s="103">
        <v>199</v>
      </c>
      <c r="J71" s="103">
        <v>199.5</v>
      </c>
      <c r="K71" s="103">
        <v>218.5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159</v>
      </c>
      <c r="E72" s="104">
        <v>-1.01E-2</v>
      </c>
      <c r="F72" s="103">
        <v>5</v>
      </c>
      <c r="G72" s="103">
        <v>1</v>
      </c>
      <c r="H72" s="103">
        <v>60</v>
      </c>
      <c r="I72" s="103">
        <v>199</v>
      </c>
      <c r="J72" s="103">
        <v>197</v>
      </c>
      <c r="K72" s="103">
        <v>179.5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55.4</v>
      </c>
      <c r="E73" s="103">
        <v>-1.3</v>
      </c>
      <c r="F73" s="103">
        <v>55.2</v>
      </c>
      <c r="G73" s="103">
        <v>55.4</v>
      </c>
      <c r="H73" s="103">
        <v>51</v>
      </c>
      <c r="I73" s="103">
        <v>54.8</v>
      </c>
      <c r="J73" s="103">
        <v>56</v>
      </c>
      <c r="K73" s="103">
        <v>62.3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70</v>
      </c>
      <c r="E74" s="104">
        <v>-2.29E-2</v>
      </c>
      <c r="F74" s="103">
        <v>5</v>
      </c>
      <c r="G74" s="103">
        <v>3</v>
      </c>
      <c r="H74" s="103">
        <v>19</v>
      </c>
      <c r="I74" s="103">
        <v>56.7</v>
      </c>
      <c r="J74" s="103">
        <v>54.8</v>
      </c>
      <c r="K74" s="103">
        <v>51.1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0.60416666666666663</v>
      </c>
      <c r="D75" s="103">
        <v>102.5</v>
      </c>
      <c r="E75" s="103">
        <v>1</v>
      </c>
      <c r="F75" s="103">
        <v>102.5</v>
      </c>
      <c r="G75" s="103">
        <v>103</v>
      </c>
      <c r="H75" s="103">
        <v>209</v>
      </c>
      <c r="I75" s="103">
        <v>101.5</v>
      </c>
      <c r="J75" s="103">
        <v>102.5</v>
      </c>
      <c r="K75" s="103">
        <v>111.5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410</v>
      </c>
      <c r="E76" s="104">
        <v>9.9000000000000008E-3</v>
      </c>
      <c r="F76" s="103">
        <v>1</v>
      </c>
      <c r="G76" s="103">
        <v>72</v>
      </c>
      <c r="H76" s="105">
        <v>193</v>
      </c>
      <c r="I76" s="103">
        <v>101.5</v>
      </c>
      <c r="J76" s="103">
        <v>100</v>
      </c>
      <c r="K76" s="103">
        <v>91.4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0.5625</v>
      </c>
      <c r="D77" s="103">
        <v>235.5</v>
      </c>
      <c r="E77" s="103">
        <v>-0.5</v>
      </c>
      <c r="F77" s="103">
        <v>234.5</v>
      </c>
      <c r="G77" s="103">
        <v>235.5</v>
      </c>
      <c r="H77" s="105">
        <v>93</v>
      </c>
      <c r="I77" s="103">
        <v>235</v>
      </c>
      <c r="J77" s="103">
        <v>235.5</v>
      </c>
      <c r="K77" s="103">
        <v>259.5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211</v>
      </c>
      <c r="E78" s="104">
        <v>-2.0999999999999999E-3</v>
      </c>
      <c r="F78" s="103">
        <v>1</v>
      </c>
      <c r="G78" s="103">
        <v>29</v>
      </c>
      <c r="H78" s="105">
        <v>113</v>
      </c>
      <c r="I78" s="103">
        <v>236</v>
      </c>
      <c r="J78" s="103">
        <v>233</v>
      </c>
      <c r="K78" s="103">
        <v>212.5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0.45370370370370372</v>
      </c>
      <c r="D79" s="103">
        <v>64.3</v>
      </c>
      <c r="E79" s="103" t="s">
        <v>14</v>
      </c>
      <c r="F79" s="103">
        <v>64</v>
      </c>
      <c r="G79" s="103">
        <v>64.900000000000006</v>
      </c>
      <c r="H79" s="103">
        <v>2</v>
      </c>
      <c r="I79" s="103">
        <v>64.400000000000006</v>
      </c>
      <c r="J79" s="103">
        <v>64.400000000000006</v>
      </c>
      <c r="K79" s="103">
        <v>70.7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2</v>
      </c>
      <c r="E80" s="104" t="s">
        <v>14</v>
      </c>
      <c r="F80" s="103">
        <v>1</v>
      </c>
      <c r="G80" s="103">
        <v>1</v>
      </c>
      <c r="H80" s="103" t="s">
        <v>14</v>
      </c>
      <c r="I80" s="103">
        <v>64.3</v>
      </c>
      <c r="J80" s="103">
        <v>64.3</v>
      </c>
      <c r="K80" s="103">
        <v>57.9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208</v>
      </c>
      <c r="E81" s="103" t="s">
        <v>14</v>
      </c>
      <c r="F81" s="103">
        <v>207</v>
      </c>
      <c r="G81" s="103">
        <v>208</v>
      </c>
      <c r="H81" s="103">
        <v>11</v>
      </c>
      <c r="I81" s="103">
        <v>207.5</v>
      </c>
      <c r="J81" s="103">
        <v>208</v>
      </c>
      <c r="K81" s="103">
        <v>228.5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32</v>
      </c>
      <c r="E82" s="104" t="s">
        <v>14</v>
      </c>
      <c r="F82" s="103">
        <v>1</v>
      </c>
      <c r="G82" s="103">
        <v>1</v>
      </c>
      <c r="H82" s="103">
        <v>21</v>
      </c>
      <c r="I82" s="103">
        <v>208</v>
      </c>
      <c r="J82" s="103">
        <v>205</v>
      </c>
      <c r="K82" s="103">
        <v>187.5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0.60416666666666663</v>
      </c>
      <c r="D83" s="103">
        <v>69.599999999999994</v>
      </c>
      <c r="E83" s="103">
        <v>-0.9</v>
      </c>
      <c r="F83" s="103">
        <v>69.599999999999994</v>
      </c>
      <c r="G83" s="103">
        <v>69.7</v>
      </c>
      <c r="H83" s="105">
        <v>2610</v>
      </c>
      <c r="I83" s="103">
        <v>70.7</v>
      </c>
      <c r="J83" s="103">
        <v>71.099999999999994</v>
      </c>
      <c r="K83" s="103">
        <v>77.5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3259</v>
      </c>
      <c r="E84" s="104">
        <v>-1.2800000000000001E-2</v>
      </c>
      <c r="F84" s="103">
        <v>60</v>
      </c>
      <c r="G84" s="103">
        <v>24</v>
      </c>
      <c r="H84" s="105">
        <v>624</v>
      </c>
      <c r="I84" s="103">
        <v>70.5</v>
      </c>
      <c r="J84" s="103">
        <v>69.599999999999994</v>
      </c>
      <c r="K84" s="103">
        <v>63.5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49.15</v>
      </c>
      <c r="E85" s="103">
        <v>-0.3</v>
      </c>
      <c r="F85" s="103">
        <v>49.15</v>
      </c>
      <c r="G85" s="103">
        <v>49.2</v>
      </c>
      <c r="H85" s="105">
        <v>629</v>
      </c>
      <c r="I85" s="103">
        <v>49.45</v>
      </c>
      <c r="J85" s="103">
        <v>49.45</v>
      </c>
      <c r="K85" s="103">
        <v>54.3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945</v>
      </c>
      <c r="E86" s="104">
        <v>-6.1000000000000004E-3</v>
      </c>
      <c r="F86" s="103">
        <v>1</v>
      </c>
      <c r="G86" s="103">
        <v>4</v>
      </c>
      <c r="H86" s="105">
        <v>300</v>
      </c>
      <c r="I86" s="103">
        <v>49.45</v>
      </c>
      <c r="J86" s="103">
        <v>48.35</v>
      </c>
      <c r="K86" s="103">
        <v>44.55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44</v>
      </c>
      <c r="E87" s="103">
        <v>-0.4</v>
      </c>
      <c r="F87" s="103">
        <v>44</v>
      </c>
      <c r="G87" s="103">
        <v>44.05</v>
      </c>
      <c r="H87" s="105">
        <v>544</v>
      </c>
      <c r="I87" s="103">
        <v>44.45</v>
      </c>
      <c r="J87" s="103">
        <v>45.75</v>
      </c>
      <c r="K87" s="103">
        <v>48.8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905</v>
      </c>
      <c r="E88" s="104">
        <v>-8.9999999999999993E-3</v>
      </c>
      <c r="F88" s="103">
        <v>9</v>
      </c>
      <c r="G88" s="103">
        <v>1</v>
      </c>
      <c r="H88" s="105">
        <v>351</v>
      </c>
      <c r="I88" s="103">
        <v>44.4</v>
      </c>
      <c r="J88" s="103">
        <v>43.2</v>
      </c>
      <c r="K88" s="103">
        <v>40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385.5</v>
      </c>
      <c r="E89" s="103">
        <v>-1</v>
      </c>
      <c r="F89" s="103">
        <v>384</v>
      </c>
      <c r="G89" s="103">
        <v>385.5</v>
      </c>
      <c r="H89" s="103">
        <v>122</v>
      </c>
      <c r="I89" s="103">
        <v>380.5</v>
      </c>
      <c r="J89" s="103">
        <v>386</v>
      </c>
      <c r="K89" s="103">
        <v>425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307</v>
      </c>
      <c r="E90" s="104">
        <v>-2.5999999999999999E-3</v>
      </c>
      <c r="F90" s="103">
        <v>2</v>
      </c>
      <c r="G90" s="103">
        <v>1</v>
      </c>
      <c r="H90" s="105">
        <v>171</v>
      </c>
      <c r="I90" s="103">
        <v>386.5</v>
      </c>
      <c r="J90" s="103">
        <v>379.5</v>
      </c>
      <c r="K90" s="103">
        <v>348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0.60416666666666663</v>
      </c>
      <c r="D91" s="103">
        <v>818</v>
      </c>
      <c r="E91" s="103">
        <v>49</v>
      </c>
      <c r="F91" s="103">
        <v>816</v>
      </c>
      <c r="G91" s="103">
        <v>818</v>
      </c>
      <c r="H91" s="103">
        <v>94</v>
      </c>
      <c r="I91" s="103">
        <v>764</v>
      </c>
      <c r="J91" s="103">
        <v>828</v>
      </c>
      <c r="K91" s="103">
        <v>845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381</v>
      </c>
      <c r="E92" s="104">
        <v>6.3700000000000007E-2</v>
      </c>
      <c r="F92" s="103">
        <v>3</v>
      </c>
      <c r="G92" s="103">
        <v>8</v>
      </c>
      <c r="H92" s="103">
        <v>284</v>
      </c>
      <c r="I92" s="103">
        <v>769</v>
      </c>
      <c r="J92" s="103">
        <v>763</v>
      </c>
      <c r="K92" s="103">
        <v>693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9.5000000000000001E-2</v>
      </c>
      <c r="G94" s="86">
        <f>F94-M94</f>
        <v>-2.0000000000000018E-3</v>
      </c>
      <c r="H94" s="87">
        <f>F94/M94-1</f>
        <v>-2.0618556701030966E-2</v>
      </c>
      <c r="I94" s="98">
        <v>4490</v>
      </c>
      <c r="J94" s="100">
        <v>9.9000000000000005E-2</v>
      </c>
      <c r="K94" s="100">
        <v>9.9000000000000005E-2</v>
      </c>
      <c r="L94" s="100">
        <v>9.4E-2</v>
      </c>
      <c r="M94" s="88">
        <v>9.7000000000000003E-2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0.27</v>
      </c>
      <c r="G95" s="86">
        <f>F95-M95</f>
        <v>-1.0000000000000009E-2</v>
      </c>
      <c r="H95" s="87">
        <f>F95/M95-1</f>
        <v>-3.5714285714285698E-2</v>
      </c>
      <c r="I95" s="98">
        <v>126</v>
      </c>
      <c r="J95" s="100">
        <v>0.28000000000000003</v>
      </c>
      <c r="K95" s="100">
        <v>0.3</v>
      </c>
      <c r="L95" s="100">
        <v>0.27</v>
      </c>
      <c r="M95" s="88">
        <v>0.28000000000000003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3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landscape" r:id="rId2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45720.780225462964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22596.880000000001</v>
      </c>
      <c r="E6" s="94">
        <v>22756.25</v>
      </c>
      <c r="F6" s="33">
        <f>(D6-E6)/E6</f>
        <v>-7.0033507278219826E-3</v>
      </c>
      <c r="G6" s="34"/>
      <c r="H6" s="91">
        <f>ROUND(415745130742/100000000,2)</f>
        <v>4157.45</v>
      </c>
      <c r="I6" s="91">
        <v>4395.97</v>
      </c>
      <c r="J6" s="35">
        <f>+H6-I6</f>
        <v>-238.52000000000044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22941.77</v>
      </c>
      <c r="E8" s="90">
        <v>23006.27</v>
      </c>
      <c r="F8" s="33">
        <f>(D8-E8)/E8</f>
        <v>-2.8035835448336475E-3</v>
      </c>
      <c r="G8" s="34"/>
      <c r="H8" s="91">
        <v>2695.28</v>
      </c>
      <c r="I8" s="91">
        <v>3018.98</v>
      </c>
      <c r="J8" s="35">
        <f>+H8-I8</f>
        <v>-323.69999999999982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今日收盤3/4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19.5" customHeight="1" outlineLevel="1" collapsed="1" x14ac:dyDescent="0.25">
      <c r="A13" s="59">
        <v>2926</v>
      </c>
      <c r="B13" s="57" t="s">
        <v>79</v>
      </c>
      <c r="C13" s="57"/>
      <c r="D13" s="60">
        <f>D59</f>
        <v>51.9</v>
      </c>
      <c r="E13" s="60">
        <f>I60</f>
        <v>52.3</v>
      </c>
      <c r="F13" s="61">
        <f>D13-E13</f>
        <v>-0.39999999999999858</v>
      </c>
      <c r="G13" s="62">
        <f>F13/E13</f>
        <v>-7.6481835564053266E-3</v>
      </c>
      <c r="H13" s="63">
        <f>I59</f>
        <v>52.3</v>
      </c>
      <c r="I13" s="60">
        <f>J60</f>
        <v>51.5</v>
      </c>
      <c r="J13" s="60">
        <f>J59</f>
        <v>52.3</v>
      </c>
      <c r="K13" s="64">
        <f>D60</f>
        <v>11</v>
      </c>
      <c r="L13" s="64">
        <f>+O13*D13</f>
        <v>2459.5228350000002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263</v>
      </c>
      <c r="E14" s="60">
        <f>I64</f>
        <v>265</v>
      </c>
      <c r="F14" s="61">
        <f t="shared" ref="F14:F30" si="0">D14-E14</f>
        <v>-2</v>
      </c>
      <c r="G14" s="62">
        <f>F14/E14</f>
        <v>-7.5471698113207548E-3</v>
      </c>
      <c r="H14" s="63">
        <f>I63</f>
        <v>263</v>
      </c>
      <c r="I14" s="60">
        <f>J64</f>
        <v>262</v>
      </c>
      <c r="J14" s="60">
        <f>J63</f>
        <v>264</v>
      </c>
      <c r="K14" s="73">
        <f>D64</f>
        <v>1895</v>
      </c>
      <c r="L14" s="64">
        <f>+O14*D14</f>
        <v>273420.58600000001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192</v>
      </c>
      <c r="E15" s="71">
        <f>$I$50</f>
        <v>192</v>
      </c>
      <c r="F15" s="61">
        <f>D15-E15</f>
        <v>0</v>
      </c>
      <c r="G15" s="62">
        <f>F15/E15</f>
        <v>0</v>
      </c>
      <c r="H15" s="72">
        <f>$I$49</f>
        <v>191</v>
      </c>
      <c r="I15" s="60">
        <f>J50</f>
        <v>191</v>
      </c>
      <c r="J15" s="71">
        <f>$J$49</f>
        <v>192.5</v>
      </c>
      <c r="K15" s="73">
        <f>$D$50</f>
        <v>34</v>
      </c>
      <c r="L15" s="64">
        <f>D15*O15</f>
        <v>42858.239999999998</v>
      </c>
      <c r="M15" s="74"/>
      <c r="N15" s="74"/>
      <c r="O15" s="70">
        <v>223.22</v>
      </c>
      <c r="Q15" s="17"/>
      <c r="R15" s="17"/>
    </row>
    <row r="16" spans="1:27" s="75" customFormat="1" ht="19.5" customHeight="1" outlineLevel="1" x14ac:dyDescent="0.25">
      <c r="A16" s="76">
        <v>2945</v>
      </c>
      <c r="B16" s="57" t="s">
        <v>124</v>
      </c>
      <c r="C16" s="57"/>
      <c r="D16" s="71">
        <f>D47</f>
        <v>40.85</v>
      </c>
      <c r="E16" s="71">
        <f>I48</f>
        <v>40.799999999999997</v>
      </c>
      <c r="F16" s="61">
        <f>D16-E16</f>
        <v>5.0000000000004263E-2</v>
      </c>
      <c r="G16" s="62">
        <f>F16/E16</f>
        <v>1.2254901960785359E-3</v>
      </c>
      <c r="H16" s="72">
        <f>I47</f>
        <v>40.700000000000003</v>
      </c>
      <c r="I16" s="60">
        <f>J48</f>
        <v>40.700000000000003</v>
      </c>
      <c r="J16" s="71">
        <f>J47</f>
        <v>40.85</v>
      </c>
      <c r="K16" s="73">
        <f>D48</f>
        <v>12</v>
      </c>
      <c r="L16" s="64">
        <f>D16*O16</f>
        <v>2757.375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24.3</v>
      </c>
      <c r="E17" s="60">
        <f>I66</f>
        <v>24.3</v>
      </c>
      <c r="F17" s="61">
        <f t="shared" si="0"/>
        <v>0</v>
      </c>
      <c r="G17" s="62">
        <f t="shared" ref="G17:G22" si="1">F17/E17</f>
        <v>0</v>
      </c>
      <c r="H17" s="63">
        <f>I65</f>
        <v>24</v>
      </c>
      <c r="I17" s="60">
        <f>J66</f>
        <v>23.9</v>
      </c>
      <c r="J17" s="60">
        <f>J65</f>
        <v>24.35</v>
      </c>
      <c r="K17" s="64">
        <f>D66</f>
        <v>2956</v>
      </c>
      <c r="L17" s="64">
        <f>+O17*D17</f>
        <v>34431.666300000004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529</v>
      </c>
      <c r="E18" s="60">
        <f>I68</f>
        <v>522</v>
      </c>
      <c r="F18" s="61">
        <f t="shared" si="0"/>
        <v>7</v>
      </c>
      <c r="G18" s="62">
        <f t="shared" si="1"/>
        <v>1.3409961685823755E-2</v>
      </c>
      <c r="H18" s="63">
        <f>I67</f>
        <v>521</v>
      </c>
      <c r="I18" s="60">
        <f>J68</f>
        <v>518</v>
      </c>
      <c r="J18" s="60">
        <f>J67</f>
        <v>531</v>
      </c>
      <c r="K18" s="64">
        <f>D68</f>
        <v>501</v>
      </c>
      <c r="L18" s="64">
        <f>+O18*D18</f>
        <v>55511.144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10.15</v>
      </c>
      <c r="E19" s="60">
        <f>I70</f>
        <v>10.35</v>
      </c>
      <c r="F19" s="61">
        <f t="shared" si="0"/>
        <v>-0.19999999999999929</v>
      </c>
      <c r="G19" s="62">
        <f>F19/E19</f>
        <v>-1.9323671497584474E-2</v>
      </c>
      <c r="H19" s="63">
        <f>I69</f>
        <v>10.45</v>
      </c>
      <c r="I19" s="60">
        <f>J70</f>
        <v>10</v>
      </c>
      <c r="J19" s="60">
        <f>J69</f>
        <v>10.45</v>
      </c>
      <c r="K19" s="64">
        <f>D70</f>
        <v>355</v>
      </c>
      <c r="L19" s="64">
        <f>+O19*D19</f>
        <v>1984.6396500000001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36.049999999999997</v>
      </c>
      <c r="E20" s="60">
        <f>I62</f>
        <v>36.049999999999997</v>
      </c>
      <c r="F20" s="61">
        <f>D20-E20</f>
        <v>0</v>
      </c>
      <c r="G20" s="62">
        <f>F20/E20</f>
        <v>0</v>
      </c>
      <c r="H20" s="63">
        <f>I61</f>
        <v>35.6</v>
      </c>
      <c r="I20" s="60">
        <f>J62</f>
        <v>35.6</v>
      </c>
      <c r="J20" s="60">
        <f>J61</f>
        <v>36.049999999999997</v>
      </c>
      <c r="K20" s="64">
        <f>D62</f>
        <v>1</v>
      </c>
      <c r="L20" s="64">
        <f>O20*D20</f>
        <v>2163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200</v>
      </c>
      <c r="E21" s="60">
        <f>I72</f>
        <v>197</v>
      </c>
      <c r="F21" s="61">
        <f t="shared" si="0"/>
        <v>3</v>
      </c>
      <c r="G21" s="62">
        <f t="shared" si="1"/>
        <v>1.5228426395939087E-2</v>
      </c>
      <c r="H21" s="63">
        <f>I71</f>
        <v>198.5</v>
      </c>
      <c r="I21" s="60">
        <f>J72</f>
        <v>197</v>
      </c>
      <c r="J21" s="60">
        <f>J71</f>
        <v>200</v>
      </c>
      <c r="K21" s="64">
        <f>D72</f>
        <v>184</v>
      </c>
      <c r="L21" s="64">
        <f t="shared" ref="L21:L28" si="2">+O21*D21</f>
        <v>25480.600000000002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56</v>
      </c>
      <c r="E22" s="60">
        <f>I74</f>
        <v>55.4</v>
      </c>
      <c r="F22" s="61">
        <f t="shared" si="0"/>
        <v>0.60000000000000142</v>
      </c>
      <c r="G22" s="62">
        <f t="shared" si="1"/>
        <v>1.0830324909747318E-2</v>
      </c>
      <c r="H22" s="63">
        <f>I73</f>
        <v>55.3</v>
      </c>
      <c r="I22" s="60">
        <f>J74</f>
        <v>55.1</v>
      </c>
      <c r="J22" s="60">
        <f>J73</f>
        <v>56</v>
      </c>
      <c r="K22" s="64">
        <f>D74</f>
        <v>55</v>
      </c>
      <c r="L22" s="64">
        <f t="shared" si="2"/>
        <v>20547.651207999999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52.2</v>
      </c>
      <c r="E23" s="60">
        <f>I56</f>
        <v>52</v>
      </c>
      <c r="F23" s="61">
        <f>D23-E23</f>
        <v>0.20000000000000284</v>
      </c>
      <c r="G23" s="62">
        <f>F23/E23</f>
        <v>3.846153846153901E-3</v>
      </c>
      <c r="H23" s="63">
        <f>I55</f>
        <v>51.5</v>
      </c>
      <c r="I23" s="60">
        <f>J56</f>
        <v>51.2</v>
      </c>
      <c r="J23" s="60">
        <f>J55</f>
        <v>52.5</v>
      </c>
      <c r="K23" s="64">
        <f>D56</f>
        <v>133</v>
      </c>
      <c r="L23" s="64">
        <f t="shared" si="2"/>
        <v>4777.6571999999996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62.4</v>
      </c>
      <c r="E24" s="60">
        <f>I58</f>
        <v>61.6</v>
      </c>
      <c r="F24" s="68">
        <f t="shared" si="0"/>
        <v>0.79999999999999716</v>
      </c>
      <c r="G24" s="69">
        <f>F24/E24</f>
        <v>1.2987012987012941E-2</v>
      </c>
      <c r="H24" s="63">
        <f>I57</f>
        <v>61.5</v>
      </c>
      <c r="I24" s="60">
        <f>J58</f>
        <v>60.4</v>
      </c>
      <c r="J24" s="60">
        <f>J57</f>
        <v>62.5</v>
      </c>
      <c r="K24" s="64">
        <f>D58</f>
        <v>266</v>
      </c>
      <c r="L24" s="64">
        <f t="shared" si="2"/>
        <v>6600.6095999999998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105</v>
      </c>
      <c r="E25" s="71">
        <f>I76</f>
        <v>102.5</v>
      </c>
      <c r="F25" s="68">
        <f t="shared" si="0"/>
        <v>2.5</v>
      </c>
      <c r="G25" s="69">
        <f t="shared" ref="G25:G31" si="3">F25/E25</f>
        <v>2.4390243902439025E-2</v>
      </c>
      <c r="H25" s="72">
        <f>I75</f>
        <v>102</v>
      </c>
      <c r="I25" s="60">
        <f>J76</f>
        <v>100.5</v>
      </c>
      <c r="J25" s="71">
        <f>J75</f>
        <v>105</v>
      </c>
      <c r="K25" s="73">
        <f>D76</f>
        <v>816</v>
      </c>
      <c r="L25" s="64">
        <f t="shared" si="2"/>
        <v>18900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241</v>
      </c>
      <c r="E26" s="71">
        <f>I78</f>
        <v>235.5</v>
      </c>
      <c r="F26" s="68">
        <f t="shared" si="0"/>
        <v>5.5</v>
      </c>
      <c r="G26" s="69">
        <f t="shared" si="3"/>
        <v>2.3354564755838639E-2</v>
      </c>
      <c r="H26" s="72">
        <f>I77</f>
        <v>235.5</v>
      </c>
      <c r="I26" s="71">
        <f>J78</f>
        <v>235</v>
      </c>
      <c r="J26" s="71">
        <f>J77</f>
        <v>242.5</v>
      </c>
      <c r="K26" s="73">
        <f>D78</f>
        <v>1094</v>
      </c>
      <c r="L26" s="64">
        <f t="shared" si="2"/>
        <v>20352.690999999999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64.7</v>
      </c>
      <c r="E27" s="71">
        <f>I80</f>
        <v>64.3</v>
      </c>
      <c r="F27" s="68">
        <f>D27-E27</f>
        <v>0.40000000000000568</v>
      </c>
      <c r="G27" s="69">
        <f>F27/E27</f>
        <v>6.2208398133748941E-3</v>
      </c>
      <c r="H27" s="72">
        <f>I79</f>
        <v>64.7</v>
      </c>
      <c r="I27" s="71">
        <f>J80</f>
        <v>64.7</v>
      </c>
      <c r="J27" s="71">
        <f>J79</f>
        <v>64.7</v>
      </c>
      <c r="K27" s="73">
        <f>D80</f>
        <v>1</v>
      </c>
      <c r="L27" s="64">
        <f t="shared" si="2"/>
        <v>2095.6006499999999</v>
      </c>
      <c r="M27" s="74"/>
      <c r="N27" s="74"/>
      <c r="O27" s="70">
        <v>32.389499999999998</v>
      </c>
      <c r="Q27" s="17"/>
      <c r="R27" s="17"/>
    </row>
    <row r="28" spans="1:18" s="75" customFormat="1" ht="19.5" customHeight="1" outlineLevel="1" x14ac:dyDescent="0.25">
      <c r="A28" s="76">
        <v>2729</v>
      </c>
      <c r="B28" s="57" t="s">
        <v>7</v>
      </c>
      <c r="C28" s="57"/>
      <c r="D28" s="71">
        <f>D81</f>
        <v>207.5</v>
      </c>
      <c r="E28" s="71">
        <f>I82</f>
        <v>208</v>
      </c>
      <c r="F28" s="68">
        <f t="shared" si="0"/>
        <v>-0.5</v>
      </c>
      <c r="G28" s="69">
        <f t="shared" si="3"/>
        <v>-2.403846153846154E-3</v>
      </c>
      <c r="H28" s="72">
        <f>I81</f>
        <v>207</v>
      </c>
      <c r="I28" s="71">
        <f>J82</f>
        <v>206</v>
      </c>
      <c r="J28" s="71">
        <f>J81</f>
        <v>209.5</v>
      </c>
      <c r="K28" s="73">
        <f>D82</f>
        <v>27</v>
      </c>
      <c r="L28" s="64">
        <f t="shared" si="2"/>
        <v>8196.4574999999986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100.5</v>
      </c>
      <c r="E29" s="71">
        <f>I46</f>
        <v>98.55</v>
      </c>
      <c r="F29" s="68">
        <f>D29-E29</f>
        <v>1.9500000000000028</v>
      </c>
      <c r="G29" s="69">
        <f>F29/E29</f>
        <v>1.9786910197869132E-2</v>
      </c>
      <c r="H29" s="72">
        <f>I45</f>
        <v>100.5</v>
      </c>
      <c r="I29" s="71">
        <f>J46</f>
        <v>99.6</v>
      </c>
      <c r="J29" s="71">
        <f>J45</f>
        <v>102</v>
      </c>
      <c r="K29" s="73">
        <f>D46</f>
        <v>50</v>
      </c>
      <c r="L29" s="64">
        <f>+D29*O29</f>
        <v>2058.8551605000002</v>
      </c>
      <c r="M29" s="74"/>
      <c r="N29" s="74"/>
      <c r="O29" s="70">
        <v>20.486121000000001</v>
      </c>
      <c r="Q29" s="17"/>
      <c r="R29" s="17"/>
    </row>
    <row r="30" spans="1:18" s="75" customFormat="1" ht="19.5" customHeight="1" outlineLevel="1" x14ac:dyDescent="0.25">
      <c r="A30" s="76">
        <v>8044</v>
      </c>
      <c r="B30" s="57" t="s">
        <v>91</v>
      </c>
      <c r="C30" s="57"/>
      <c r="D30" s="71">
        <f>D87</f>
        <v>44.7</v>
      </c>
      <c r="E30" s="71">
        <f>I88</f>
        <v>44</v>
      </c>
      <c r="F30" s="68">
        <f t="shared" si="0"/>
        <v>0.70000000000000284</v>
      </c>
      <c r="G30" s="69">
        <f t="shared" si="3"/>
        <v>1.5909090909090973E-2</v>
      </c>
      <c r="H30" s="72">
        <f>I87</f>
        <v>44</v>
      </c>
      <c r="I30" s="71">
        <f>J88</f>
        <v>43.1</v>
      </c>
      <c r="J30" s="71">
        <f>J87</f>
        <v>44.85</v>
      </c>
      <c r="K30" s="73">
        <f>D88</f>
        <v>587</v>
      </c>
      <c r="L30" s="64">
        <f>D30*O30</f>
        <v>6434.6991000000007</v>
      </c>
      <c r="M30" s="74"/>
      <c r="N30" s="74"/>
      <c r="O30" s="70">
        <v>143.953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49.05</v>
      </c>
      <c r="E31" s="71">
        <f>I86</f>
        <v>49.15</v>
      </c>
      <c r="F31" s="68">
        <f>D31-E31</f>
        <v>-0.10000000000000142</v>
      </c>
      <c r="G31" s="69">
        <f t="shared" si="3"/>
        <v>-2.034587995930853E-3</v>
      </c>
      <c r="H31" s="72">
        <f>I85</f>
        <v>48.6</v>
      </c>
      <c r="I31" s="71">
        <f>J86</f>
        <v>48.2</v>
      </c>
      <c r="J31" s="71">
        <f>J85</f>
        <v>49.1</v>
      </c>
      <c r="K31" s="73">
        <f>D86</f>
        <v>1317</v>
      </c>
      <c r="L31" s="64">
        <f>+O31*D31</f>
        <v>31012.50015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387</v>
      </c>
      <c r="E32" s="71">
        <f>I90</f>
        <v>385.5</v>
      </c>
      <c r="F32" s="68">
        <f>D32-E32</f>
        <v>1.5</v>
      </c>
      <c r="G32" s="69">
        <f>F32/E32</f>
        <v>3.8910505836575876E-3</v>
      </c>
      <c r="H32" s="72">
        <f>I89</f>
        <v>383.5</v>
      </c>
      <c r="I32" s="71">
        <f>J90</f>
        <v>377</v>
      </c>
      <c r="J32" s="71">
        <f>J89</f>
        <v>387</v>
      </c>
      <c r="K32" s="73">
        <f>D90</f>
        <v>267</v>
      </c>
      <c r="L32" s="64">
        <f>+O32*D32</f>
        <v>97662.159</v>
      </c>
      <c r="M32" s="74"/>
      <c r="N32" s="74"/>
      <c r="O32" s="70">
        <v>252.357</v>
      </c>
      <c r="Q32" s="17"/>
      <c r="R32" s="17"/>
    </row>
    <row r="33" spans="1:25" s="75" customFormat="1" ht="19.5" customHeight="1" outlineLevel="1" x14ac:dyDescent="0.25">
      <c r="A33" s="76">
        <v>8477</v>
      </c>
      <c r="B33" s="57" t="s">
        <v>118</v>
      </c>
      <c r="C33" s="57"/>
      <c r="D33" s="71">
        <f>D53</f>
        <v>13.3</v>
      </c>
      <c r="E33" s="71">
        <f>I54</f>
        <v>13</v>
      </c>
      <c r="F33" s="68">
        <f>D33-E33</f>
        <v>0.30000000000000071</v>
      </c>
      <c r="G33" s="69">
        <f>F33/E33</f>
        <v>2.307692307692313E-2</v>
      </c>
      <c r="H33" s="72">
        <f>I53</f>
        <v>13</v>
      </c>
      <c r="I33" s="71">
        <f>J54</f>
        <v>12.8</v>
      </c>
      <c r="J33" s="71">
        <f>J53</f>
        <v>13.4</v>
      </c>
      <c r="K33" s="73">
        <f>D54</f>
        <v>58</v>
      </c>
      <c r="L33" s="64">
        <f>+O33*D33</f>
        <v>853.47430000000008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99.5</v>
      </c>
      <c r="E34" s="71">
        <f>$I$52</f>
        <v>100</v>
      </c>
      <c r="F34" s="68">
        <f>D34-E34</f>
        <v>-0.5</v>
      </c>
      <c r="G34" s="69">
        <f>F34/E34</f>
        <v>-5.0000000000000001E-3</v>
      </c>
      <c r="H34" s="72">
        <f>$I$51</f>
        <v>99.5</v>
      </c>
      <c r="I34" s="71">
        <f>J52</f>
        <v>98</v>
      </c>
      <c r="J34" s="71">
        <f>$J$51</f>
        <v>100</v>
      </c>
      <c r="K34" s="73">
        <f>$D$52</f>
        <v>315</v>
      </c>
      <c r="L34" s="64">
        <f>+O34*D34</f>
        <v>11997.511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814</v>
      </c>
      <c r="E35" s="71">
        <f>I92</f>
        <v>818</v>
      </c>
      <c r="F35" s="68">
        <f>D35-E35</f>
        <v>-4</v>
      </c>
      <c r="G35" s="69">
        <f>F35/E35</f>
        <v>-4.8899755501222494E-3</v>
      </c>
      <c r="H35" s="72">
        <f>I91</f>
        <v>818</v>
      </c>
      <c r="I35" s="71">
        <f>J92</f>
        <v>792</v>
      </c>
      <c r="J35" s="71">
        <f>J91</f>
        <v>822</v>
      </c>
      <c r="K35" s="73">
        <f>D92</f>
        <v>160</v>
      </c>
      <c r="L35" s="64">
        <f>+O35*D35</f>
        <v>55352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9.5000000000000001E-2</v>
      </c>
      <c r="E38" s="60">
        <f>M94</f>
        <v>9.5000000000000001E-2</v>
      </c>
      <c r="F38" s="61">
        <f>D38-E38</f>
        <v>0</v>
      </c>
      <c r="G38" s="62">
        <f>F38/E38</f>
        <v>0</v>
      </c>
      <c r="H38" s="63">
        <f>J94</f>
        <v>9.4E-2</v>
      </c>
      <c r="I38" s="60">
        <f>L94</f>
        <v>9.1999999999999998E-2</v>
      </c>
      <c r="J38" s="60">
        <f>K94</f>
        <v>9.7000000000000003E-2</v>
      </c>
      <c r="K38" s="64">
        <f>I94</f>
        <v>709</v>
      </c>
      <c r="L38" s="64">
        <f>+O38*D38</f>
        <v>250.28054000000003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</v>
      </c>
      <c r="E39" s="60">
        <f>M95</f>
        <v>0.27</v>
      </c>
      <c r="F39" s="61">
        <f>D39-E39</f>
        <v>2.9999999999999971E-2</v>
      </c>
      <c r="G39" s="77">
        <f>F39/E39</f>
        <v>0.11111111111111099</v>
      </c>
      <c r="H39" s="63">
        <f>J95</f>
        <v>0.28499999999999998</v>
      </c>
      <c r="I39" s="60">
        <f>L95</f>
        <v>0.28000000000000003</v>
      </c>
      <c r="J39" s="60">
        <f>K95</f>
        <v>0.31</v>
      </c>
      <c r="K39" s="64">
        <f>I95</f>
        <v>1062</v>
      </c>
      <c r="L39" s="64">
        <f>+O39*D39</f>
        <v>505.84349999999995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0.62089120370370365</v>
      </c>
      <c r="D45" s="103">
        <v>100.5</v>
      </c>
      <c r="E45" s="103">
        <v>1.95</v>
      </c>
      <c r="F45" s="103">
        <v>99.6</v>
      </c>
      <c r="G45" s="103">
        <v>101.5</v>
      </c>
      <c r="H45" s="103">
        <v>17</v>
      </c>
      <c r="I45" s="103">
        <v>100.5</v>
      </c>
      <c r="J45" s="103">
        <v>102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50</v>
      </c>
      <c r="E46" s="104">
        <v>1.9800000000000002E-2</v>
      </c>
      <c r="F46" s="105">
        <v>5232</v>
      </c>
      <c r="G46" s="105">
        <v>2000</v>
      </c>
      <c r="H46" s="103">
        <v>23</v>
      </c>
      <c r="I46" s="103">
        <v>98.55</v>
      </c>
      <c r="J46" s="103">
        <v>99.6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0.5625</v>
      </c>
      <c r="D47" s="103">
        <v>40.85</v>
      </c>
      <c r="E47" s="103">
        <v>0.05</v>
      </c>
      <c r="F47" s="103">
        <v>40.85</v>
      </c>
      <c r="G47" s="103">
        <v>41.55</v>
      </c>
      <c r="H47" s="103">
        <v>2</v>
      </c>
      <c r="I47" s="103">
        <v>40.700000000000003</v>
      </c>
      <c r="J47" s="103">
        <v>40.85</v>
      </c>
      <c r="K47" s="103">
        <v>44.85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12</v>
      </c>
      <c r="E48" s="104">
        <v>1.1999999999999999E-3</v>
      </c>
      <c r="F48" s="103">
        <v>6</v>
      </c>
      <c r="G48" s="103">
        <v>1</v>
      </c>
      <c r="H48" s="103">
        <v>10</v>
      </c>
      <c r="I48" s="103">
        <v>40.799999999999997</v>
      </c>
      <c r="J48" s="103">
        <v>40.700000000000003</v>
      </c>
      <c r="K48" s="103">
        <v>36.75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192</v>
      </c>
      <c r="E49" s="103" t="s">
        <v>14</v>
      </c>
      <c r="F49" s="103">
        <v>191.5</v>
      </c>
      <c r="G49" s="103">
        <v>192.5</v>
      </c>
      <c r="H49" s="103">
        <v>10</v>
      </c>
      <c r="I49" s="103">
        <v>191</v>
      </c>
      <c r="J49" s="103">
        <v>192.5</v>
      </c>
      <c r="K49" s="103">
        <v>211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34</v>
      </c>
      <c r="E50" s="104" t="s">
        <v>14</v>
      </c>
      <c r="F50" s="103">
        <v>9</v>
      </c>
      <c r="G50" s="103">
        <v>25</v>
      </c>
      <c r="H50" s="103">
        <v>24</v>
      </c>
      <c r="I50" s="103">
        <v>192</v>
      </c>
      <c r="J50" s="103">
        <v>191</v>
      </c>
      <c r="K50" s="103">
        <v>173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0.5625</v>
      </c>
      <c r="D51" s="103">
        <v>99.5</v>
      </c>
      <c r="E51" s="103">
        <v>-0.5</v>
      </c>
      <c r="F51" s="103">
        <v>99.4</v>
      </c>
      <c r="G51" s="103">
        <v>99.7</v>
      </c>
      <c r="H51" s="105">
        <v>124</v>
      </c>
      <c r="I51" s="103">
        <v>99.5</v>
      </c>
      <c r="J51" s="103">
        <v>100</v>
      </c>
      <c r="K51" s="103">
        <v>110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315</v>
      </c>
      <c r="E52" s="104">
        <v>-5.0000000000000001E-3</v>
      </c>
      <c r="F52" s="103">
        <v>2</v>
      </c>
      <c r="G52" s="103">
        <v>3</v>
      </c>
      <c r="H52" s="105">
        <v>186</v>
      </c>
      <c r="I52" s="103">
        <v>100</v>
      </c>
      <c r="J52" s="103">
        <v>98</v>
      </c>
      <c r="K52" s="103">
        <v>90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13.3</v>
      </c>
      <c r="E53" s="103">
        <v>0.3</v>
      </c>
      <c r="F53" s="103">
        <v>13.15</v>
      </c>
      <c r="G53" s="103">
        <v>13.3</v>
      </c>
      <c r="H53" s="103">
        <v>25</v>
      </c>
      <c r="I53" s="103">
        <v>13</v>
      </c>
      <c r="J53" s="103">
        <v>13.4</v>
      </c>
      <c r="K53" s="103">
        <v>14.3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58</v>
      </c>
      <c r="E54" s="104">
        <v>2.3099999999999999E-2</v>
      </c>
      <c r="F54" s="103">
        <v>3</v>
      </c>
      <c r="G54" s="103">
        <v>3</v>
      </c>
      <c r="H54" s="103">
        <v>33</v>
      </c>
      <c r="I54" s="103">
        <v>13</v>
      </c>
      <c r="J54" s="103">
        <v>12.8</v>
      </c>
      <c r="K54" s="103">
        <v>11.7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52.2</v>
      </c>
      <c r="E55" s="103">
        <v>0.2</v>
      </c>
      <c r="F55" s="103">
        <v>52.2</v>
      </c>
      <c r="G55" s="103">
        <v>52.4</v>
      </c>
      <c r="H55" s="105">
        <v>36</v>
      </c>
      <c r="I55" s="103">
        <v>51.5</v>
      </c>
      <c r="J55" s="103">
        <v>52.5</v>
      </c>
      <c r="K55" s="103">
        <v>57.2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133</v>
      </c>
      <c r="E56" s="104">
        <v>3.8E-3</v>
      </c>
      <c r="F56" s="103">
        <v>2</v>
      </c>
      <c r="G56" s="103">
        <v>3</v>
      </c>
      <c r="H56" s="105">
        <v>82</v>
      </c>
      <c r="I56" s="103">
        <v>52</v>
      </c>
      <c r="J56" s="103">
        <v>51.2</v>
      </c>
      <c r="K56" s="103">
        <v>46.8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0.5625</v>
      </c>
      <c r="D57" s="103">
        <v>62.4</v>
      </c>
      <c r="E57" s="103">
        <v>0.8</v>
      </c>
      <c r="F57" s="103">
        <v>62.4</v>
      </c>
      <c r="G57" s="103">
        <v>62.5</v>
      </c>
      <c r="H57" s="105">
        <v>76</v>
      </c>
      <c r="I57" s="103">
        <v>61.5</v>
      </c>
      <c r="J57" s="103">
        <v>62.5</v>
      </c>
      <c r="K57" s="103">
        <v>67.7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266</v>
      </c>
      <c r="E58" s="104">
        <v>1.2999999999999999E-2</v>
      </c>
      <c r="F58" s="103">
        <v>1</v>
      </c>
      <c r="G58" s="103">
        <v>13</v>
      </c>
      <c r="H58" s="105">
        <v>156</v>
      </c>
      <c r="I58" s="103">
        <v>61.6</v>
      </c>
      <c r="J58" s="103">
        <v>60.4</v>
      </c>
      <c r="K58" s="103">
        <v>55.5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0.5625</v>
      </c>
      <c r="D59" s="103">
        <v>51.9</v>
      </c>
      <c r="E59" s="103">
        <v>-0.4</v>
      </c>
      <c r="F59" s="103">
        <v>51.8</v>
      </c>
      <c r="G59" s="103">
        <v>51.9</v>
      </c>
      <c r="H59" s="103">
        <v>4</v>
      </c>
      <c r="I59" s="103">
        <v>52.3</v>
      </c>
      <c r="J59" s="103">
        <v>52.3</v>
      </c>
      <c r="K59" s="103">
        <v>57.5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11</v>
      </c>
      <c r="E60" s="104">
        <v>-7.6E-3</v>
      </c>
      <c r="F60" s="103">
        <v>4</v>
      </c>
      <c r="G60" s="103">
        <v>7</v>
      </c>
      <c r="H60" s="103">
        <v>5</v>
      </c>
      <c r="I60" s="103">
        <v>52.3</v>
      </c>
      <c r="J60" s="103">
        <v>51.5</v>
      </c>
      <c r="K60" s="103">
        <v>47.1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0.62381944444444437</v>
      </c>
      <c r="D61" s="103">
        <v>36.049999999999997</v>
      </c>
      <c r="E61" s="103" t="s">
        <v>14</v>
      </c>
      <c r="F61" s="103">
        <v>35.6</v>
      </c>
      <c r="G61" s="103">
        <v>36.049999999999997</v>
      </c>
      <c r="H61" s="103">
        <v>1</v>
      </c>
      <c r="I61" s="103">
        <v>35.6</v>
      </c>
      <c r="J61" s="103">
        <v>36.049999999999997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1</v>
      </c>
      <c r="E62" s="104" t="s">
        <v>14</v>
      </c>
      <c r="F62" s="105">
        <v>1</v>
      </c>
      <c r="G62" s="105">
        <v>2</v>
      </c>
      <c r="H62" s="103" t="s">
        <v>14</v>
      </c>
      <c r="I62" s="103">
        <v>36.049999999999997</v>
      </c>
      <c r="J62" s="103">
        <v>35.6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263</v>
      </c>
      <c r="E63" s="103">
        <v>-2</v>
      </c>
      <c r="F63" s="103">
        <v>263</v>
      </c>
      <c r="G63" s="103">
        <v>263.5</v>
      </c>
      <c r="H63" s="105">
        <v>1185</v>
      </c>
      <c r="I63" s="103">
        <v>263</v>
      </c>
      <c r="J63" s="103">
        <v>264</v>
      </c>
      <c r="K63" s="103">
        <v>291.5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1895</v>
      </c>
      <c r="E64" s="104">
        <v>-7.4999999999999997E-3</v>
      </c>
      <c r="F64" s="103">
        <v>2</v>
      </c>
      <c r="G64" s="103">
        <v>33</v>
      </c>
      <c r="H64" s="105">
        <v>556</v>
      </c>
      <c r="I64" s="103">
        <v>265</v>
      </c>
      <c r="J64" s="103">
        <v>262</v>
      </c>
      <c r="K64" s="103">
        <v>238.5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24.3</v>
      </c>
      <c r="E65" s="103" t="s">
        <v>14</v>
      </c>
      <c r="F65" s="103">
        <v>24.25</v>
      </c>
      <c r="G65" s="103">
        <v>24.3</v>
      </c>
      <c r="H65" s="105">
        <v>1286</v>
      </c>
      <c r="I65" s="103">
        <v>24</v>
      </c>
      <c r="J65" s="103">
        <v>24.35</v>
      </c>
      <c r="K65" s="103">
        <v>26.7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2956</v>
      </c>
      <c r="E66" s="104" t="s">
        <v>14</v>
      </c>
      <c r="F66" s="103">
        <v>3</v>
      </c>
      <c r="G66" s="103">
        <v>93</v>
      </c>
      <c r="H66" s="105">
        <v>1415</v>
      </c>
      <c r="I66" s="103">
        <v>24.3</v>
      </c>
      <c r="J66" s="103">
        <v>23.9</v>
      </c>
      <c r="K66" s="103">
        <v>21.9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529</v>
      </c>
      <c r="E67" s="103">
        <v>7</v>
      </c>
      <c r="F67" s="103">
        <v>527</v>
      </c>
      <c r="G67" s="103">
        <v>529</v>
      </c>
      <c r="H67" s="103">
        <v>154</v>
      </c>
      <c r="I67" s="103">
        <v>521</v>
      </c>
      <c r="J67" s="103">
        <v>531</v>
      </c>
      <c r="K67" s="103">
        <v>574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501</v>
      </c>
      <c r="E68" s="104">
        <v>1.34E-2</v>
      </c>
      <c r="F68" s="103">
        <v>6</v>
      </c>
      <c r="G68" s="103">
        <v>3</v>
      </c>
      <c r="H68" s="103">
        <v>347</v>
      </c>
      <c r="I68" s="103">
        <v>522</v>
      </c>
      <c r="J68" s="103">
        <v>518</v>
      </c>
      <c r="K68" s="103">
        <v>470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10.15</v>
      </c>
      <c r="E69" s="103">
        <v>-0.2</v>
      </c>
      <c r="F69" s="103">
        <v>10.15</v>
      </c>
      <c r="G69" s="103">
        <v>10.25</v>
      </c>
      <c r="H69" s="105">
        <v>183</v>
      </c>
      <c r="I69" s="103">
        <v>10.45</v>
      </c>
      <c r="J69" s="103">
        <v>10.45</v>
      </c>
      <c r="K69" s="103">
        <v>11.35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355</v>
      </c>
      <c r="E70" s="104">
        <v>-1.9300000000000001E-2</v>
      </c>
      <c r="F70" s="103">
        <v>7</v>
      </c>
      <c r="G70" s="103">
        <v>2</v>
      </c>
      <c r="H70" s="105">
        <v>155</v>
      </c>
      <c r="I70" s="103">
        <v>10.35</v>
      </c>
      <c r="J70" s="103">
        <v>10</v>
      </c>
      <c r="K70" s="103">
        <v>9.32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0.5625</v>
      </c>
      <c r="D71" s="103">
        <v>200</v>
      </c>
      <c r="E71" s="103">
        <v>3</v>
      </c>
      <c r="F71" s="103">
        <v>199.5</v>
      </c>
      <c r="G71" s="103">
        <v>200</v>
      </c>
      <c r="H71" s="103">
        <v>61</v>
      </c>
      <c r="I71" s="103">
        <v>198.5</v>
      </c>
      <c r="J71" s="103">
        <v>200</v>
      </c>
      <c r="K71" s="103">
        <v>216.5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184</v>
      </c>
      <c r="E72" s="104">
        <v>1.52E-2</v>
      </c>
      <c r="F72" s="103">
        <v>4</v>
      </c>
      <c r="G72" s="103">
        <v>14</v>
      </c>
      <c r="H72" s="103">
        <v>115</v>
      </c>
      <c r="I72" s="103">
        <v>197</v>
      </c>
      <c r="J72" s="103">
        <v>197</v>
      </c>
      <c r="K72" s="103">
        <v>177.5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56</v>
      </c>
      <c r="E73" s="103">
        <v>0.6</v>
      </c>
      <c r="F73" s="103">
        <v>55.5</v>
      </c>
      <c r="G73" s="103">
        <v>56</v>
      </c>
      <c r="H73" s="103">
        <v>31</v>
      </c>
      <c r="I73" s="103">
        <v>55.3</v>
      </c>
      <c r="J73" s="103">
        <v>56</v>
      </c>
      <c r="K73" s="103">
        <v>60.9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55</v>
      </c>
      <c r="E74" s="104">
        <v>1.0800000000000001E-2</v>
      </c>
      <c r="F74" s="103">
        <v>1</v>
      </c>
      <c r="G74" s="103">
        <v>4</v>
      </c>
      <c r="H74" s="103">
        <v>21</v>
      </c>
      <c r="I74" s="103">
        <v>55.4</v>
      </c>
      <c r="J74" s="103">
        <v>55.1</v>
      </c>
      <c r="K74" s="103">
        <v>49.9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0.60416666666666663</v>
      </c>
      <c r="D75" s="103">
        <v>105</v>
      </c>
      <c r="E75" s="103">
        <v>2.5</v>
      </c>
      <c r="F75" s="103">
        <v>104.5</v>
      </c>
      <c r="G75" s="103">
        <v>105</v>
      </c>
      <c r="H75" s="103">
        <v>199</v>
      </c>
      <c r="I75" s="103">
        <v>102</v>
      </c>
      <c r="J75" s="103">
        <v>105</v>
      </c>
      <c r="K75" s="103">
        <v>112.5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816</v>
      </c>
      <c r="E76" s="104">
        <v>2.4400000000000002E-2</v>
      </c>
      <c r="F76" s="103">
        <v>12</v>
      </c>
      <c r="G76" s="103">
        <v>95</v>
      </c>
      <c r="H76" s="105">
        <v>591</v>
      </c>
      <c r="I76" s="103">
        <v>102.5</v>
      </c>
      <c r="J76" s="103">
        <v>100.5</v>
      </c>
      <c r="K76" s="103">
        <v>92.3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0.60416666666666663</v>
      </c>
      <c r="D77" s="103">
        <v>241</v>
      </c>
      <c r="E77" s="103">
        <v>5.5</v>
      </c>
      <c r="F77" s="103">
        <v>240.5</v>
      </c>
      <c r="G77" s="103">
        <v>241</v>
      </c>
      <c r="H77" s="105">
        <v>298</v>
      </c>
      <c r="I77" s="103">
        <v>235.5</v>
      </c>
      <c r="J77" s="103">
        <v>242.5</v>
      </c>
      <c r="K77" s="103">
        <v>259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1094</v>
      </c>
      <c r="E78" s="104">
        <v>2.3400000000000001E-2</v>
      </c>
      <c r="F78" s="103">
        <v>5</v>
      </c>
      <c r="G78" s="103">
        <v>22</v>
      </c>
      <c r="H78" s="105">
        <v>730</v>
      </c>
      <c r="I78" s="103">
        <v>235.5</v>
      </c>
      <c r="J78" s="103">
        <v>235</v>
      </c>
      <c r="K78" s="103">
        <v>212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0.39721064814814816</v>
      </c>
      <c r="D79" s="103">
        <v>64.7</v>
      </c>
      <c r="E79" s="103">
        <v>0.4</v>
      </c>
      <c r="F79" s="103">
        <v>63.9</v>
      </c>
      <c r="G79" s="103">
        <v>64.599999999999994</v>
      </c>
      <c r="H79" s="103" t="s">
        <v>14</v>
      </c>
      <c r="I79" s="103">
        <v>64.7</v>
      </c>
      <c r="J79" s="103">
        <v>64.7</v>
      </c>
      <c r="K79" s="103">
        <v>70.7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1</v>
      </c>
      <c r="E80" s="104">
        <v>6.1999999999999998E-3</v>
      </c>
      <c r="F80" s="103">
        <v>1</v>
      </c>
      <c r="G80" s="103">
        <v>1</v>
      </c>
      <c r="H80" s="103">
        <v>1</v>
      </c>
      <c r="I80" s="103">
        <v>64.3</v>
      </c>
      <c r="J80" s="103">
        <v>64.7</v>
      </c>
      <c r="K80" s="103">
        <v>57.9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207.5</v>
      </c>
      <c r="E81" s="103">
        <v>-0.5</v>
      </c>
      <c r="F81" s="103">
        <v>207</v>
      </c>
      <c r="G81" s="103">
        <v>208</v>
      </c>
      <c r="H81" s="103">
        <v>9</v>
      </c>
      <c r="I81" s="103">
        <v>207</v>
      </c>
      <c r="J81" s="103">
        <v>209.5</v>
      </c>
      <c r="K81" s="103">
        <v>228.5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27</v>
      </c>
      <c r="E82" s="104">
        <v>-2.3999999999999998E-3</v>
      </c>
      <c r="F82" s="103">
        <v>1</v>
      </c>
      <c r="G82" s="103">
        <v>1</v>
      </c>
      <c r="H82" s="103">
        <v>14</v>
      </c>
      <c r="I82" s="103">
        <v>208</v>
      </c>
      <c r="J82" s="103">
        <v>206</v>
      </c>
      <c r="K82" s="103">
        <v>187.5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0.60416666666666663</v>
      </c>
      <c r="D83" s="103">
        <v>68.400000000000006</v>
      </c>
      <c r="E83" s="103">
        <v>-1.2</v>
      </c>
      <c r="F83" s="103">
        <v>68.400000000000006</v>
      </c>
      <c r="G83" s="103">
        <v>68.5</v>
      </c>
      <c r="H83" s="105">
        <v>2462</v>
      </c>
      <c r="I83" s="103">
        <v>69.599999999999994</v>
      </c>
      <c r="J83" s="103">
        <v>69.599999999999994</v>
      </c>
      <c r="K83" s="103">
        <v>76.5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3566</v>
      </c>
      <c r="E84" s="104">
        <v>-1.72E-2</v>
      </c>
      <c r="F84" s="103">
        <v>317</v>
      </c>
      <c r="G84" s="103">
        <v>4</v>
      </c>
      <c r="H84" s="105">
        <v>821</v>
      </c>
      <c r="I84" s="103">
        <v>69.599999999999994</v>
      </c>
      <c r="J84" s="103">
        <v>68.400000000000006</v>
      </c>
      <c r="K84" s="103">
        <v>62.7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49.05</v>
      </c>
      <c r="E85" s="103">
        <v>-0.1</v>
      </c>
      <c r="F85" s="103">
        <v>48.95</v>
      </c>
      <c r="G85" s="103">
        <v>49.05</v>
      </c>
      <c r="H85" s="105">
        <v>603</v>
      </c>
      <c r="I85" s="103">
        <v>48.6</v>
      </c>
      <c r="J85" s="103">
        <v>49.1</v>
      </c>
      <c r="K85" s="103">
        <v>54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1317</v>
      </c>
      <c r="E86" s="104">
        <v>-2E-3</v>
      </c>
      <c r="F86" s="103">
        <v>3</v>
      </c>
      <c r="G86" s="103">
        <v>3</v>
      </c>
      <c r="H86" s="105">
        <v>651</v>
      </c>
      <c r="I86" s="103">
        <v>49.15</v>
      </c>
      <c r="J86" s="103">
        <v>48.2</v>
      </c>
      <c r="K86" s="103">
        <v>44.25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0.5625</v>
      </c>
      <c r="D87" s="103">
        <v>44.7</v>
      </c>
      <c r="E87" s="103">
        <v>0.7</v>
      </c>
      <c r="F87" s="103">
        <v>44.7</v>
      </c>
      <c r="G87" s="103">
        <v>44.75</v>
      </c>
      <c r="H87" s="105">
        <v>248</v>
      </c>
      <c r="I87" s="103">
        <v>44</v>
      </c>
      <c r="J87" s="103">
        <v>44.85</v>
      </c>
      <c r="K87" s="103">
        <v>48.4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587</v>
      </c>
      <c r="E88" s="104">
        <v>1.5900000000000001E-2</v>
      </c>
      <c r="F88" s="103">
        <v>2</v>
      </c>
      <c r="G88" s="103">
        <v>7</v>
      </c>
      <c r="H88" s="105">
        <v>338</v>
      </c>
      <c r="I88" s="103">
        <v>44</v>
      </c>
      <c r="J88" s="103">
        <v>43.1</v>
      </c>
      <c r="K88" s="103">
        <v>39.6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387</v>
      </c>
      <c r="E89" s="103">
        <v>1.5</v>
      </c>
      <c r="F89" s="103">
        <v>384.5</v>
      </c>
      <c r="G89" s="103">
        <v>387</v>
      </c>
      <c r="H89" s="103">
        <v>94</v>
      </c>
      <c r="I89" s="103">
        <v>383.5</v>
      </c>
      <c r="J89" s="103">
        <v>387</v>
      </c>
      <c r="K89" s="103">
        <v>424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267</v>
      </c>
      <c r="E90" s="104">
        <v>3.8999999999999998E-3</v>
      </c>
      <c r="F90" s="103">
        <v>3</v>
      </c>
      <c r="G90" s="103">
        <v>3</v>
      </c>
      <c r="H90" s="105">
        <v>134</v>
      </c>
      <c r="I90" s="103">
        <v>385.5</v>
      </c>
      <c r="J90" s="103">
        <v>377</v>
      </c>
      <c r="K90" s="103">
        <v>347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0.60416666666666663</v>
      </c>
      <c r="D91" s="103">
        <v>814</v>
      </c>
      <c r="E91" s="103">
        <v>-4</v>
      </c>
      <c r="F91" s="103">
        <v>813</v>
      </c>
      <c r="G91" s="103">
        <v>817</v>
      </c>
      <c r="H91" s="103">
        <v>71</v>
      </c>
      <c r="I91" s="103">
        <v>818</v>
      </c>
      <c r="J91" s="103">
        <v>822</v>
      </c>
      <c r="K91" s="103">
        <v>899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160</v>
      </c>
      <c r="E92" s="104">
        <v>-4.8999999999999998E-3</v>
      </c>
      <c r="F92" s="103">
        <v>1</v>
      </c>
      <c r="G92" s="103">
        <v>1</v>
      </c>
      <c r="H92" s="103">
        <v>70</v>
      </c>
      <c r="I92" s="103">
        <v>818</v>
      </c>
      <c r="J92" s="103">
        <v>792</v>
      </c>
      <c r="K92" s="103">
        <v>737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9.5000000000000001E-2</v>
      </c>
      <c r="G94" s="86">
        <f>F94-M94</f>
        <v>0</v>
      </c>
      <c r="H94" s="87">
        <f>F94/M94-1</f>
        <v>0</v>
      </c>
      <c r="I94" s="98">
        <v>709</v>
      </c>
      <c r="J94" s="100">
        <v>9.4E-2</v>
      </c>
      <c r="K94" s="100">
        <v>9.7000000000000003E-2</v>
      </c>
      <c r="L94" s="100">
        <v>9.1999999999999998E-2</v>
      </c>
      <c r="M94" s="88">
        <v>9.5000000000000001E-2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</v>
      </c>
      <c r="G95" s="86">
        <f>F95-M95</f>
        <v>2.9999999999999971E-2</v>
      </c>
      <c r="H95" s="87">
        <f>F95/M95-1</f>
        <v>0.11111111111111094</v>
      </c>
      <c r="I95" s="98">
        <v>1062</v>
      </c>
      <c r="J95" s="100">
        <v>0.28499999999999998</v>
      </c>
      <c r="K95" s="100">
        <v>0.31</v>
      </c>
      <c r="L95" s="100">
        <v>0.28000000000000003</v>
      </c>
      <c r="M95" s="88">
        <v>0.27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4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landscape" r:id="rId2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D11" sqref="D11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45721.76644097222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22871.9</v>
      </c>
      <c r="E6" s="94">
        <v>22596.880000000001</v>
      </c>
      <c r="F6" s="33">
        <f>(D6-E6)/E6</f>
        <v>1.2170706752436639E-2</v>
      </c>
      <c r="G6" s="34"/>
      <c r="H6" s="91">
        <f>ROUND(369732472552/100000000,2)</f>
        <v>3697.32</v>
      </c>
      <c r="I6" s="91">
        <v>4157.45</v>
      </c>
      <c r="J6" s="35">
        <f>+H6-I6</f>
        <v>-460.12999999999965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23594.21</v>
      </c>
      <c r="E8" s="90">
        <v>22941.77</v>
      </c>
      <c r="F8" s="33">
        <f>(D8-E8)/E8</f>
        <v>2.8438956540842258E-2</v>
      </c>
      <c r="G8" s="34"/>
      <c r="H8" s="91">
        <v>2586.89</v>
      </c>
      <c r="I8" s="91">
        <v>2695.28</v>
      </c>
      <c r="J8" s="35">
        <f>+H8-I8</f>
        <v>-108.39000000000033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今日收盤3/5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19.5" customHeight="1" outlineLevel="1" collapsed="1" x14ac:dyDescent="0.25">
      <c r="A13" s="59">
        <v>2926</v>
      </c>
      <c r="B13" s="57" t="s">
        <v>79</v>
      </c>
      <c r="C13" s="57"/>
      <c r="D13" s="60">
        <f>D59</f>
        <v>52.9</v>
      </c>
      <c r="E13" s="60">
        <f>I60</f>
        <v>51.9</v>
      </c>
      <c r="F13" s="61">
        <f>D13-E13</f>
        <v>1</v>
      </c>
      <c r="G13" s="62">
        <f>F13/E13</f>
        <v>1.926782273603083E-2</v>
      </c>
      <c r="H13" s="63">
        <f>I59</f>
        <v>53</v>
      </c>
      <c r="I13" s="60">
        <f>J60</f>
        <v>51.9</v>
      </c>
      <c r="J13" s="60">
        <f>J59</f>
        <v>53</v>
      </c>
      <c r="K13" s="64">
        <f>D60</f>
        <v>16</v>
      </c>
      <c r="L13" s="64">
        <f>+O13*D13</f>
        <v>2506.9124850000003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261.5</v>
      </c>
      <c r="E14" s="60">
        <f>I64</f>
        <v>263</v>
      </c>
      <c r="F14" s="61">
        <f t="shared" ref="F14:F30" si="0">D14-E14</f>
        <v>-1.5</v>
      </c>
      <c r="G14" s="62">
        <f>F14/E14</f>
        <v>-5.7034220532319393E-3</v>
      </c>
      <c r="H14" s="63">
        <f>I63</f>
        <v>262.5</v>
      </c>
      <c r="I14" s="60">
        <f>J64</f>
        <v>261.5</v>
      </c>
      <c r="J14" s="60">
        <f>J63</f>
        <v>263</v>
      </c>
      <c r="K14" s="73">
        <f>D64</f>
        <v>1954</v>
      </c>
      <c r="L14" s="64">
        <f>+O14*D14</f>
        <v>271861.15299999999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192</v>
      </c>
      <c r="E15" s="71">
        <f>$I$50</f>
        <v>192</v>
      </c>
      <c r="F15" s="61">
        <f>D15-E15</f>
        <v>0</v>
      </c>
      <c r="G15" s="62">
        <f>F15/E15</f>
        <v>0</v>
      </c>
      <c r="H15" s="72">
        <f>$I$49</f>
        <v>192</v>
      </c>
      <c r="I15" s="60">
        <f>J50</f>
        <v>192</v>
      </c>
      <c r="J15" s="71">
        <f>$J$49</f>
        <v>192.5</v>
      </c>
      <c r="K15" s="73">
        <f>$D$50</f>
        <v>22</v>
      </c>
      <c r="L15" s="64">
        <f>D15*O15</f>
        <v>42858.239999999998</v>
      </c>
      <c r="M15" s="74"/>
      <c r="N15" s="74"/>
      <c r="O15" s="70">
        <v>223.22</v>
      </c>
      <c r="Q15" s="17"/>
      <c r="R15" s="17"/>
    </row>
    <row r="16" spans="1:27" s="75" customFormat="1" ht="19.5" customHeight="1" outlineLevel="1" x14ac:dyDescent="0.25">
      <c r="A16" s="76">
        <v>2945</v>
      </c>
      <c r="B16" s="57" t="s">
        <v>124</v>
      </c>
      <c r="C16" s="57"/>
      <c r="D16" s="71">
        <f>D47</f>
        <v>40.799999999999997</v>
      </c>
      <c r="E16" s="71">
        <f>I48</f>
        <v>40.85</v>
      </c>
      <c r="F16" s="61">
        <f>D16-E16</f>
        <v>-5.0000000000004263E-2</v>
      </c>
      <c r="G16" s="62">
        <f>F16/E16</f>
        <v>-1.2239902080784398E-3</v>
      </c>
      <c r="H16" s="72">
        <f>I47</f>
        <v>40.299999999999997</v>
      </c>
      <c r="I16" s="60">
        <f>J48</f>
        <v>40.299999999999997</v>
      </c>
      <c r="J16" s="71">
        <f>J47</f>
        <v>40.799999999999997</v>
      </c>
      <c r="K16" s="73">
        <f>D48</f>
        <v>3</v>
      </c>
      <c r="L16" s="64">
        <f>D16*O16</f>
        <v>2754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25.55</v>
      </c>
      <c r="E17" s="60">
        <f>I66</f>
        <v>24.3</v>
      </c>
      <c r="F17" s="61">
        <f t="shared" si="0"/>
        <v>1.25</v>
      </c>
      <c r="G17" s="62">
        <f t="shared" ref="G17:G22" si="1">F17/E17</f>
        <v>5.1440329218106998E-2</v>
      </c>
      <c r="H17" s="63">
        <f>I65</f>
        <v>24.7</v>
      </c>
      <c r="I17" s="60">
        <f>J66</f>
        <v>24.7</v>
      </c>
      <c r="J17" s="60">
        <f>J65</f>
        <v>25.65</v>
      </c>
      <c r="K17" s="64">
        <f>D66</f>
        <v>9000</v>
      </c>
      <c r="L17" s="64">
        <f>+O17*D17</f>
        <v>36202.842550000001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521</v>
      </c>
      <c r="E18" s="60">
        <f>I68</f>
        <v>529</v>
      </c>
      <c r="F18" s="61">
        <f t="shared" si="0"/>
        <v>-8</v>
      </c>
      <c r="G18" s="62">
        <f t="shared" si="1"/>
        <v>-1.5122873345935728E-2</v>
      </c>
      <c r="H18" s="63">
        <f>I67</f>
        <v>528</v>
      </c>
      <c r="I18" s="60">
        <f>J68</f>
        <v>521</v>
      </c>
      <c r="J18" s="60">
        <f>J67</f>
        <v>531</v>
      </c>
      <c r="K18" s="64">
        <f>D68</f>
        <v>368</v>
      </c>
      <c r="L18" s="64">
        <f>+O18*D18</f>
        <v>54671.656000000003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10.199999999999999</v>
      </c>
      <c r="E19" s="60">
        <f>I70</f>
        <v>10.15</v>
      </c>
      <c r="F19" s="61">
        <f t="shared" si="0"/>
        <v>4.9999999999998934E-2</v>
      </c>
      <c r="G19" s="62">
        <f>F19/E19</f>
        <v>4.9261083743841316E-3</v>
      </c>
      <c r="H19" s="63">
        <f>I69</f>
        <v>10.15</v>
      </c>
      <c r="I19" s="60">
        <f>J70</f>
        <v>10.1</v>
      </c>
      <c r="J19" s="60">
        <f>J69</f>
        <v>10.3</v>
      </c>
      <c r="K19" s="64">
        <f>D70</f>
        <v>199</v>
      </c>
      <c r="L19" s="64">
        <f>+O19*D19</f>
        <v>1994.4161999999999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36.049999999999997</v>
      </c>
      <c r="E20" s="60">
        <f>I62</f>
        <v>35.68</v>
      </c>
      <c r="F20" s="61">
        <f>D20-E20</f>
        <v>0.36999999999999744</v>
      </c>
      <c r="G20" s="62">
        <f>F20/E20</f>
        <v>1.03699551569506E-2</v>
      </c>
      <c r="H20" s="63">
        <f>I61</f>
        <v>36.049999999999997</v>
      </c>
      <c r="I20" s="60">
        <f>J62</f>
        <v>36.049999999999997</v>
      </c>
      <c r="J20" s="60">
        <f>J61</f>
        <v>36.049999999999997</v>
      </c>
      <c r="K20" s="64">
        <f>D62</f>
        <v>2</v>
      </c>
      <c r="L20" s="64">
        <f>O20*D20</f>
        <v>2163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203</v>
      </c>
      <c r="E21" s="60">
        <f>I72</f>
        <v>200</v>
      </c>
      <c r="F21" s="61">
        <f t="shared" si="0"/>
        <v>3</v>
      </c>
      <c r="G21" s="62">
        <f t="shared" si="1"/>
        <v>1.4999999999999999E-2</v>
      </c>
      <c r="H21" s="63">
        <f>I71</f>
        <v>200.5</v>
      </c>
      <c r="I21" s="60">
        <f>J72</f>
        <v>200</v>
      </c>
      <c r="J21" s="60">
        <f>J71</f>
        <v>204</v>
      </c>
      <c r="K21" s="64">
        <f>D72</f>
        <v>308</v>
      </c>
      <c r="L21" s="64">
        <f t="shared" ref="L21:L28" si="2">+O21*D21</f>
        <v>25862.809000000001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55.2</v>
      </c>
      <c r="E22" s="60">
        <f>I74</f>
        <v>56</v>
      </c>
      <c r="F22" s="61">
        <f t="shared" si="0"/>
        <v>-0.79999999999999716</v>
      </c>
      <c r="G22" s="62">
        <f t="shared" si="1"/>
        <v>-1.4285714285714235E-2</v>
      </c>
      <c r="H22" s="63">
        <f>I73</f>
        <v>55</v>
      </c>
      <c r="I22" s="60">
        <f>J74</f>
        <v>54.6</v>
      </c>
      <c r="J22" s="60">
        <f>J73</f>
        <v>55.5</v>
      </c>
      <c r="K22" s="64">
        <f>D74</f>
        <v>96</v>
      </c>
      <c r="L22" s="64">
        <f t="shared" si="2"/>
        <v>20254.113333600002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53</v>
      </c>
      <c r="E23" s="60">
        <f>I56</f>
        <v>52.2</v>
      </c>
      <c r="F23" s="61">
        <f>D23-E23</f>
        <v>0.79999999999999716</v>
      </c>
      <c r="G23" s="62">
        <f>F23/E23</f>
        <v>1.5325670498084237E-2</v>
      </c>
      <c r="H23" s="63">
        <f>I55</f>
        <v>52</v>
      </c>
      <c r="I23" s="60">
        <f>J56</f>
        <v>51.9</v>
      </c>
      <c r="J23" s="60">
        <f>J55</f>
        <v>53</v>
      </c>
      <c r="K23" s="64">
        <f>D56</f>
        <v>371</v>
      </c>
      <c r="L23" s="64">
        <f t="shared" si="2"/>
        <v>4850.8779999999997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63.1</v>
      </c>
      <c r="E24" s="60">
        <f>I58</f>
        <v>62.4</v>
      </c>
      <c r="F24" s="68">
        <f t="shared" si="0"/>
        <v>0.70000000000000284</v>
      </c>
      <c r="G24" s="69">
        <f>F24/E24</f>
        <v>1.1217948717948763E-2</v>
      </c>
      <c r="H24" s="63">
        <f>I57</f>
        <v>62.6</v>
      </c>
      <c r="I24" s="60">
        <f>J58</f>
        <v>62.1</v>
      </c>
      <c r="J24" s="60">
        <f>J57</f>
        <v>63.2</v>
      </c>
      <c r="K24" s="64">
        <f>D58</f>
        <v>254</v>
      </c>
      <c r="L24" s="64">
        <f t="shared" si="2"/>
        <v>6674.6548999999995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105</v>
      </c>
      <c r="E25" s="71">
        <f>I76</f>
        <v>105</v>
      </c>
      <c r="F25" s="68">
        <f t="shared" si="0"/>
        <v>0</v>
      </c>
      <c r="G25" s="69">
        <f t="shared" ref="G25:G31" si="3">F25/E25</f>
        <v>0</v>
      </c>
      <c r="H25" s="72">
        <f>I75</f>
        <v>104</v>
      </c>
      <c r="I25" s="60">
        <f>J76</f>
        <v>104</v>
      </c>
      <c r="J25" s="71">
        <f>J75</f>
        <v>107</v>
      </c>
      <c r="K25" s="73">
        <f>D76</f>
        <v>691</v>
      </c>
      <c r="L25" s="64">
        <f t="shared" si="2"/>
        <v>18900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243</v>
      </c>
      <c r="E26" s="71">
        <f>I78</f>
        <v>241</v>
      </c>
      <c r="F26" s="68">
        <f t="shared" si="0"/>
        <v>2</v>
      </c>
      <c r="G26" s="69">
        <f t="shared" si="3"/>
        <v>8.2987551867219917E-3</v>
      </c>
      <c r="H26" s="72">
        <f>I77</f>
        <v>242</v>
      </c>
      <c r="I26" s="71">
        <f>J78</f>
        <v>240.5</v>
      </c>
      <c r="J26" s="71">
        <f>J77</f>
        <v>243.5</v>
      </c>
      <c r="K26" s="73">
        <f>D78</f>
        <v>624</v>
      </c>
      <c r="L26" s="64">
        <f t="shared" si="2"/>
        <v>20521.592999999997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64.3</v>
      </c>
      <c r="E27" s="71">
        <f>I80</f>
        <v>64.7</v>
      </c>
      <c r="F27" s="68">
        <f>D27-E27</f>
        <v>-0.40000000000000568</v>
      </c>
      <c r="G27" s="69">
        <f>F27/E27</f>
        <v>-6.182380216383395E-3</v>
      </c>
      <c r="H27" s="72">
        <f>I79</f>
        <v>64.599999999999994</v>
      </c>
      <c r="I27" s="71">
        <f>J80</f>
        <v>64.099999999999994</v>
      </c>
      <c r="J27" s="71">
        <f>J79</f>
        <v>64.7</v>
      </c>
      <c r="K27" s="73">
        <f>D80</f>
        <v>5</v>
      </c>
      <c r="L27" s="64">
        <f t="shared" si="2"/>
        <v>2082.6448499999997</v>
      </c>
      <c r="M27" s="74"/>
      <c r="N27" s="74"/>
      <c r="O27" s="70">
        <v>32.389499999999998</v>
      </c>
      <c r="Q27" s="17"/>
      <c r="R27" s="17"/>
    </row>
    <row r="28" spans="1:18" s="75" customFormat="1" ht="19.5" customHeight="1" outlineLevel="1" x14ac:dyDescent="0.25">
      <c r="A28" s="76">
        <v>2729</v>
      </c>
      <c r="B28" s="57" t="s">
        <v>7</v>
      </c>
      <c r="C28" s="57"/>
      <c r="D28" s="71">
        <f>D81</f>
        <v>207</v>
      </c>
      <c r="E28" s="71">
        <f>I82</f>
        <v>207.5</v>
      </c>
      <c r="F28" s="68">
        <f t="shared" si="0"/>
        <v>-0.5</v>
      </c>
      <c r="G28" s="69">
        <f t="shared" si="3"/>
        <v>-2.4096385542168677E-3</v>
      </c>
      <c r="H28" s="72">
        <f>I81</f>
        <v>208</v>
      </c>
      <c r="I28" s="71">
        <f>J82</f>
        <v>206.5</v>
      </c>
      <c r="J28" s="71">
        <f>J81</f>
        <v>208</v>
      </c>
      <c r="K28" s="73">
        <f>D82</f>
        <v>19</v>
      </c>
      <c r="L28" s="64">
        <f t="shared" si="2"/>
        <v>8176.7069999999994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106.5</v>
      </c>
      <c r="E29" s="71">
        <f>I46</f>
        <v>100.69</v>
      </c>
      <c r="F29" s="68">
        <f>D29-E29</f>
        <v>5.8100000000000023</v>
      </c>
      <c r="G29" s="69">
        <f>F29/E29</f>
        <v>5.7701857185420619E-2</v>
      </c>
      <c r="H29" s="72">
        <f>I45</f>
        <v>99.6</v>
      </c>
      <c r="I29" s="71">
        <f>J46</f>
        <v>99.6</v>
      </c>
      <c r="J29" s="71">
        <f>J45</f>
        <v>106.5</v>
      </c>
      <c r="K29" s="73">
        <f>D46</f>
        <v>58</v>
      </c>
      <c r="L29" s="64">
        <f>+D29*O29</f>
        <v>2181.7718865000002</v>
      </c>
      <c r="M29" s="74"/>
      <c r="N29" s="74"/>
      <c r="O29" s="70">
        <v>20.486121000000001</v>
      </c>
      <c r="Q29" s="17"/>
      <c r="R29" s="17"/>
    </row>
    <row r="30" spans="1:18" s="75" customFormat="1" ht="19.5" customHeight="1" outlineLevel="1" x14ac:dyDescent="0.25">
      <c r="A30" s="76">
        <v>8044</v>
      </c>
      <c r="B30" s="57" t="s">
        <v>91</v>
      </c>
      <c r="C30" s="57"/>
      <c r="D30" s="71">
        <f>D87</f>
        <v>49.15</v>
      </c>
      <c r="E30" s="71">
        <f>I88</f>
        <v>44.7</v>
      </c>
      <c r="F30" s="68">
        <f t="shared" si="0"/>
        <v>4.4499999999999957</v>
      </c>
      <c r="G30" s="69">
        <f t="shared" si="3"/>
        <v>9.9552572706935016E-2</v>
      </c>
      <c r="H30" s="72">
        <f>I87</f>
        <v>44.95</v>
      </c>
      <c r="I30" s="71">
        <f>J88</f>
        <v>44.6</v>
      </c>
      <c r="J30" s="71">
        <f>J87</f>
        <v>49.15</v>
      </c>
      <c r="K30" s="73">
        <f>D88</f>
        <v>5997</v>
      </c>
      <c r="L30" s="64">
        <f>D30*O30</f>
        <v>10107.55005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49.6</v>
      </c>
      <c r="E31" s="71">
        <f>I86</f>
        <v>49.05</v>
      </c>
      <c r="F31" s="68">
        <f>D31-E31</f>
        <v>0.55000000000000426</v>
      </c>
      <c r="G31" s="69">
        <f t="shared" si="3"/>
        <v>1.1213047910295704E-2</v>
      </c>
      <c r="H31" s="72">
        <f>I85</f>
        <v>49</v>
      </c>
      <c r="I31" s="71">
        <f>J86</f>
        <v>48.85</v>
      </c>
      <c r="J31" s="71">
        <f>J85</f>
        <v>49.6</v>
      </c>
      <c r="K31" s="73">
        <f>D86</f>
        <v>1682</v>
      </c>
      <c r="L31" s="64">
        <f>+O31*D31</f>
        <v>31360.244800000004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384</v>
      </c>
      <c r="E32" s="71">
        <f>I90</f>
        <v>387</v>
      </c>
      <c r="F32" s="68">
        <f>D32-E32</f>
        <v>-3</v>
      </c>
      <c r="G32" s="69">
        <f>F32/E32</f>
        <v>-7.7519379844961239E-3</v>
      </c>
      <c r="H32" s="72">
        <f>I89</f>
        <v>388.5</v>
      </c>
      <c r="I32" s="71">
        <f>J90</f>
        <v>380</v>
      </c>
      <c r="J32" s="71">
        <f>J89</f>
        <v>389</v>
      </c>
      <c r="K32" s="73">
        <f>D90</f>
        <v>302</v>
      </c>
      <c r="L32" s="64">
        <f>+O32*D32</f>
        <v>96905.088000000003</v>
      </c>
      <c r="M32" s="74"/>
      <c r="N32" s="74"/>
      <c r="O32" s="70">
        <v>252.357</v>
      </c>
      <c r="Q32" s="17"/>
      <c r="R32" s="17"/>
    </row>
    <row r="33" spans="1:25" s="75" customFormat="1" ht="19.5" customHeight="1" outlineLevel="1" x14ac:dyDescent="0.25">
      <c r="A33" s="76">
        <v>8477</v>
      </c>
      <c r="B33" s="57" t="s">
        <v>118</v>
      </c>
      <c r="C33" s="57"/>
      <c r="D33" s="71">
        <f>D53</f>
        <v>13.35</v>
      </c>
      <c r="E33" s="71">
        <f>I54</f>
        <v>13.3</v>
      </c>
      <c r="F33" s="68">
        <f>D33-E33</f>
        <v>4.9999999999998934E-2</v>
      </c>
      <c r="G33" s="69">
        <f>F33/E33</f>
        <v>3.7593984962405211E-3</v>
      </c>
      <c r="H33" s="72">
        <f>I53</f>
        <v>13.45</v>
      </c>
      <c r="I33" s="71">
        <f>J54</f>
        <v>13.1</v>
      </c>
      <c r="J33" s="71">
        <f>J53</f>
        <v>13.45</v>
      </c>
      <c r="K33" s="73">
        <f>D54</f>
        <v>26</v>
      </c>
      <c r="L33" s="64">
        <f>+O33*D33</f>
        <v>856.68285000000003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99.7</v>
      </c>
      <c r="E34" s="71">
        <f>$I$52</f>
        <v>99.5</v>
      </c>
      <c r="F34" s="68">
        <f>D34-E34</f>
        <v>0.20000000000000284</v>
      </c>
      <c r="G34" s="69">
        <f>F34/E34</f>
        <v>2.0100502512563098E-3</v>
      </c>
      <c r="H34" s="72">
        <f>$I$51</f>
        <v>99.5</v>
      </c>
      <c r="I34" s="71">
        <f>J52</f>
        <v>99</v>
      </c>
      <c r="J34" s="71">
        <f>$J$51</f>
        <v>100.5</v>
      </c>
      <c r="K34" s="73">
        <f>$D$52</f>
        <v>350</v>
      </c>
      <c r="L34" s="64">
        <f>+O34*D34</f>
        <v>12021.626600000001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806</v>
      </c>
      <c r="E35" s="71">
        <f>I92</f>
        <v>814</v>
      </c>
      <c r="F35" s="68">
        <f>D35-E35</f>
        <v>-8</v>
      </c>
      <c r="G35" s="69">
        <f>F35/E35</f>
        <v>-9.8280098280098278E-3</v>
      </c>
      <c r="H35" s="72">
        <f>I91</f>
        <v>797</v>
      </c>
      <c r="I35" s="71">
        <f>J92</f>
        <v>797</v>
      </c>
      <c r="J35" s="71">
        <f>J91</f>
        <v>816</v>
      </c>
      <c r="K35" s="73">
        <f>D92</f>
        <v>94</v>
      </c>
      <c r="L35" s="64">
        <f>+O35*D35</f>
        <v>54808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9.5000000000000001E-2</v>
      </c>
      <c r="E38" s="60">
        <f>M94</f>
        <v>9.5000000000000001E-2</v>
      </c>
      <c r="F38" s="61">
        <f>D38-E38</f>
        <v>0</v>
      </c>
      <c r="G38" s="62">
        <f>F38/E38</f>
        <v>0</v>
      </c>
      <c r="H38" s="63">
        <f>J94</f>
        <v>9.4E-2</v>
      </c>
      <c r="I38" s="60">
        <f>L94</f>
        <v>9.4E-2</v>
      </c>
      <c r="J38" s="60">
        <f>K94</f>
        <v>9.5000000000000001E-2</v>
      </c>
      <c r="K38" s="64">
        <f>I94</f>
        <v>1889</v>
      </c>
      <c r="L38" s="64">
        <f>+O38*D38</f>
        <v>250.28054000000003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0.28499999999999998</v>
      </c>
      <c r="E39" s="60">
        <f>M95</f>
        <v>0.3</v>
      </c>
      <c r="F39" s="61">
        <f>D39-E39</f>
        <v>-1.5000000000000013E-2</v>
      </c>
      <c r="G39" s="77">
        <f>F39/E39</f>
        <v>-5.0000000000000044E-2</v>
      </c>
      <c r="H39" s="63">
        <f>J95</f>
        <v>0.3</v>
      </c>
      <c r="I39" s="60">
        <f>L95</f>
        <v>0.28499999999999998</v>
      </c>
      <c r="J39" s="60">
        <f>K95</f>
        <v>0.31</v>
      </c>
      <c r="K39" s="64">
        <f>I95</f>
        <v>420</v>
      </c>
      <c r="L39" s="64">
        <f>+O39*D39</f>
        <v>480.55132499999996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0.62260416666666674</v>
      </c>
      <c r="D45" s="103">
        <v>106.5</v>
      </c>
      <c r="E45" s="103">
        <v>5.81</v>
      </c>
      <c r="F45" s="103">
        <v>105</v>
      </c>
      <c r="G45" s="103">
        <v>106.5</v>
      </c>
      <c r="H45" s="103">
        <v>10</v>
      </c>
      <c r="I45" s="103">
        <v>99.6</v>
      </c>
      <c r="J45" s="103">
        <v>106.5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58</v>
      </c>
      <c r="E46" s="104">
        <v>5.7700000000000001E-2</v>
      </c>
      <c r="F46" s="105">
        <v>4000</v>
      </c>
      <c r="G46" s="105">
        <v>3998</v>
      </c>
      <c r="H46" s="103">
        <v>38</v>
      </c>
      <c r="I46" s="103">
        <v>100.69</v>
      </c>
      <c r="J46" s="103">
        <v>99.6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0.51483796296296302</v>
      </c>
      <c r="D47" s="103">
        <v>40.799999999999997</v>
      </c>
      <c r="E47" s="103">
        <v>-0.05</v>
      </c>
      <c r="F47" s="103">
        <v>40.6</v>
      </c>
      <c r="G47" s="103">
        <v>41.3</v>
      </c>
      <c r="H47" s="103">
        <v>2</v>
      </c>
      <c r="I47" s="103">
        <v>40.299999999999997</v>
      </c>
      <c r="J47" s="103">
        <v>40.799999999999997</v>
      </c>
      <c r="K47" s="103">
        <v>44.9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3</v>
      </c>
      <c r="E48" s="104">
        <v>-1.1999999999999999E-3</v>
      </c>
      <c r="F48" s="103">
        <v>16</v>
      </c>
      <c r="G48" s="103">
        <v>1</v>
      </c>
      <c r="H48" s="103">
        <v>1</v>
      </c>
      <c r="I48" s="103">
        <v>40.85</v>
      </c>
      <c r="J48" s="103">
        <v>40.299999999999997</v>
      </c>
      <c r="K48" s="103">
        <v>36.799999999999997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192</v>
      </c>
      <c r="E49" s="103" t="s">
        <v>14</v>
      </c>
      <c r="F49" s="103">
        <v>192</v>
      </c>
      <c r="G49" s="103">
        <v>192.5</v>
      </c>
      <c r="H49" s="103">
        <v>14</v>
      </c>
      <c r="I49" s="103">
        <v>192</v>
      </c>
      <c r="J49" s="103">
        <v>192.5</v>
      </c>
      <c r="K49" s="103">
        <v>211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22</v>
      </c>
      <c r="E50" s="104" t="s">
        <v>14</v>
      </c>
      <c r="F50" s="103">
        <v>11</v>
      </c>
      <c r="G50" s="103">
        <v>17</v>
      </c>
      <c r="H50" s="103">
        <v>8</v>
      </c>
      <c r="I50" s="103">
        <v>192</v>
      </c>
      <c r="J50" s="103">
        <v>192</v>
      </c>
      <c r="K50" s="103">
        <v>173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0.60416666666666663</v>
      </c>
      <c r="D51" s="103">
        <v>99.7</v>
      </c>
      <c r="E51" s="103">
        <v>0.2</v>
      </c>
      <c r="F51" s="103">
        <v>99.7</v>
      </c>
      <c r="G51" s="103">
        <v>99.8</v>
      </c>
      <c r="H51" s="105">
        <v>128</v>
      </c>
      <c r="I51" s="103">
        <v>99.5</v>
      </c>
      <c r="J51" s="103">
        <v>100.5</v>
      </c>
      <c r="K51" s="103">
        <v>109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350</v>
      </c>
      <c r="E52" s="104">
        <v>2E-3</v>
      </c>
      <c r="F52" s="103">
        <v>1</v>
      </c>
      <c r="G52" s="103">
        <v>1</v>
      </c>
      <c r="H52" s="105">
        <v>210</v>
      </c>
      <c r="I52" s="103">
        <v>99.5</v>
      </c>
      <c r="J52" s="103">
        <v>99</v>
      </c>
      <c r="K52" s="103">
        <v>89.6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13.35</v>
      </c>
      <c r="E53" s="103">
        <v>0.05</v>
      </c>
      <c r="F53" s="103">
        <v>13.3</v>
      </c>
      <c r="G53" s="103">
        <v>13.4</v>
      </c>
      <c r="H53" s="103">
        <v>16</v>
      </c>
      <c r="I53" s="103">
        <v>13.45</v>
      </c>
      <c r="J53" s="103">
        <v>13.45</v>
      </c>
      <c r="K53" s="103">
        <v>14.6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26</v>
      </c>
      <c r="E54" s="104">
        <v>3.8E-3</v>
      </c>
      <c r="F54" s="103">
        <v>3</v>
      </c>
      <c r="G54" s="103">
        <v>1</v>
      </c>
      <c r="H54" s="103">
        <v>9</v>
      </c>
      <c r="I54" s="103">
        <v>13.3</v>
      </c>
      <c r="J54" s="103">
        <v>13.1</v>
      </c>
      <c r="K54" s="103">
        <v>12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53</v>
      </c>
      <c r="E55" s="103">
        <v>0.8</v>
      </c>
      <c r="F55" s="103">
        <v>52.8</v>
      </c>
      <c r="G55" s="103">
        <v>53</v>
      </c>
      <c r="H55" s="105">
        <v>97</v>
      </c>
      <c r="I55" s="103">
        <v>52</v>
      </c>
      <c r="J55" s="103">
        <v>53</v>
      </c>
      <c r="K55" s="103">
        <v>57.4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371</v>
      </c>
      <c r="E56" s="104">
        <v>1.5299999999999999E-2</v>
      </c>
      <c r="F56" s="103">
        <v>3</v>
      </c>
      <c r="G56" s="103">
        <v>12</v>
      </c>
      <c r="H56" s="105">
        <v>233</v>
      </c>
      <c r="I56" s="103">
        <v>52.2</v>
      </c>
      <c r="J56" s="103">
        <v>51.9</v>
      </c>
      <c r="K56" s="103">
        <v>47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0.5625</v>
      </c>
      <c r="D57" s="103">
        <v>63.1</v>
      </c>
      <c r="E57" s="103">
        <v>0.7</v>
      </c>
      <c r="F57" s="103">
        <v>63.1</v>
      </c>
      <c r="G57" s="103">
        <v>63.2</v>
      </c>
      <c r="H57" s="105">
        <v>78</v>
      </c>
      <c r="I57" s="103">
        <v>62.6</v>
      </c>
      <c r="J57" s="103">
        <v>63.2</v>
      </c>
      <c r="K57" s="103">
        <v>68.599999999999994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254</v>
      </c>
      <c r="E58" s="104">
        <v>1.12E-2</v>
      </c>
      <c r="F58" s="103">
        <v>4</v>
      </c>
      <c r="G58" s="103">
        <v>7</v>
      </c>
      <c r="H58" s="105">
        <v>165</v>
      </c>
      <c r="I58" s="103">
        <v>62.4</v>
      </c>
      <c r="J58" s="103">
        <v>62.1</v>
      </c>
      <c r="K58" s="103">
        <v>56.2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0.55495370370370367</v>
      </c>
      <c r="D59" s="103">
        <v>52.9</v>
      </c>
      <c r="E59" s="103">
        <v>1</v>
      </c>
      <c r="F59" s="103">
        <v>52</v>
      </c>
      <c r="G59" s="103">
        <v>52.4</v>
      </c>
      <c r="H59" s="103">
        <v>1</v>
      </c>
      <c r="I59" s="103">
        <v>53</v>
      </c>
      <c r="J59" s="103">
        <v>53</v>
      </c>
      <c r="K59" s="103">
        <v>57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16</v>
      </c>
      <c r="E60" s="104">
        <v>1.9300000000000001E-2</v>
      </c>
      <c r="F60" s="103">
        <v>2</v>
      </c>
      <c r="G60" s="103">
        <v>1</v>
      </c>
      <c r="H60" s="103">
        <v>15</v>
      </c>
      <c r="I60" s="103">
        <v>51.9</v>
      </c>
      <c r="J60" s="103">
        <v>51.9</v>
      </c>
      <c r="K60" s="103">
        <v>46.75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0.58402777777777781</v>
      </c>
      <c r="D61" s="103">
        <v>36.049999999999997</v>
      </c>
      <c r="E61" s="103">
        <v>0.37</v>
      </c>
      <c r="F61" s="103">
        <v>35.9</v>
      </c>
      <c r="G61" s="103">
        <v>36.1</v>
      </c>
      <c r="H61" s="103" t="s">
        <v>14</v>
      </c>
      <c r="I61" s="103">
        <v>36.049999999999997</v>
      </c>
      <c r="J61" s="103">
        <v>36.049999999999997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2</v>
      </c>
      <c r="E62" s="104">
        <v>1.04E-2</v>
      </c>
      <c r="F62" s="105">
        <v>3000</v>
      </c>
      <c r="G62" s="105">
        <v>3000</v>
      </c>
      <c r="H62" s="103">
        <v>2</v>
      </c>
      <c r="I62" s="103">
        <v>35.68</v>
      </c>
      <c r="J62" s="103">
        <v>36.049999999999997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261.5</v>
      </c>
      <c r="E63" s="103">
        <v>-1.5</v>
      </c>
      <c r="F63" s="103">
        <v>261.5</v>
      </c>
      <c r="G63" s="103">
        <v>262</v>
      </c>
      <c r="H63" s="105">
        <v>1600</v>
      </c>
      <c r="I63" s="103">
        <v>262.5</v>
      </c>
      <c r="J63" s="103">
        <v>263</v>
      </c>
      <c r="K63" s="103">
        <v>289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1954</v>
      </c>
      <c r="E64" s="104">
        <v>-5.7000000000000002E-3</v>
      </c>
      <c r="F64" s="103">
        <v>182</v>
      </c>
      <c r="G64" s="103">
        <v>23</v>
      </c>
      <c r="H64" s="105">
        <v>339</v>
      </c>
      <c r="I64" s="103">
        <v>263</v>
      </c>
      <c r="J64" s="103">
        <v>261.5</v>
      </c>
      <c r="K64" s="103">
        <v>237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25.55</v>
      </c>
      <c r="E65" s="103">
        <v>1.25</v>
      </c>
      <c r="F65" s="103">
        <v>25.55</v>
      </c>
      <c r="G65" s="103">
        <v>25.6</v>
      </c>
      <c r="H65" s="105">
        <v>3774</v>
      </c>
      <c r="I65" s="103">
        <v>24.7</v>
      </c>
      <c r="J65" s="103">
        <v>25.65</v>
      </c>
      <c r="K65" s="103">
        <v>26.7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9000</v>
      </c>
      <c r="E66" s="104">
        <v>5.1400000000000001E-2</v>
      </c>
      <c r="F66" s="103">
        <v>102</v>
      </c>
      <c r="G66" s="103">
        <v>32</v>
      </c>
      <c r="H66" s="105">
        <v>5111</v>
      </c>
      <c r="I66" s="103">
        <v>24.3</v>
      </c>
      <c r="J66" s="103">
        <v>24.7</v>
      </c>
      <c r="K66" s="103">
        <v>21.9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521</v>
      </c>
      <c r="E67" s="103">
        <v>-8</v>
      </c>
      <c r="F67" s="103">
        <v>521</v>
      </c>
      <c r="G67" s="103">
        <v>523</v>
      </c>
      <c r="H67" s="103">
        <v>180</v>
      </c>
      <c r="I67" s="103">
        <v>528</v>
      </c>
      <c r="J67" s="103">
        <v>531</v>
      </c>
      <c r="K67" s="103">
        <v>581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368</v>
      </c>
      <c r="E68" s="104">
        <v>-1.5100000000000001E-2</v>
      </c>
      <c r="F68" s="103">
        <v>4</v>
      </c>
      <c r="G68" s="103">
        <v>1</v>
      </c>
      <c r="H68" s="103">
        <v>187</v>
      </c>
      <c r="I68" s="103">
        <v>529</v>
      </c>
      <c r="J68" s="103">
        <v>521</v>
      </c>
      <c r="K68" s="103">
        <v>476.5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10.199999999999999</v>
      </c>
      <c r="E69" s="103">
        <v>0.05</v>
      </c>
      <c r="F69" s="103">
        <v>10.199999999999999</v>
      </c>
      <c r="G69" s="103">
        <v>10.25</v>
      </c>
      <c r="H69" s="105">
        <v>67</v>
      </c>
      <c r="I69" s="103">
        <v>10.15</v>
      </c>
      <c r="J69" s="103">
        <v>10.3</v>
      </c>
      <c r="K69" s="103">
        <v>11.15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199</v>
      </c>
      <c r="E70" s="104">
        <v>4.8999999999999998E-3</v>
      </c>
      <c r="F70" s="103">
        <v>2</v>
      </c>
      <c r="G70" s="103">
        <v>2</v>
      </c>
      <c r="H70" s="105">
        <v>132</v>
      </c>
      <c r="I70" s="103">
        <v>10.15</v>
      </c>
      <c r="J70" s="103">
        <v>10.1</v>
      </c>
      <c r="K70" s="103">
        <v>9.14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0.5625</v>
      </c>
      <c r="D71" s="103">
        <v>203</v>
      </c>
      <c r="E71" s="103">
        <v>3</v>
      </c>
      <c r="F71" s="103">
        <v>202.5</v>
      </c>
      <c r="G71" s="103">
        <v>203.5</v>
      </c>
      <c r="H71" s="103">
        <v>131</v>
      </c>
      <c r="I71" s="103">
        <v>200.5</v>
      </c>
      <c r="J71" s="103">
        <v>204</v>
      </c>
      <c r="K71" s="103">
        <v>220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308</v>
      </c>
      <c r="E72" s="104">
        <v>1.4999999999999999E-2</v>
      </c>
      <c r="F72" s="103">
        <v>3</v>
      </c>
      <c r="G72" s="103">
        <v>9</v>
      </c>
      <c r="H72" s="103">
        <v>168</v>
      </c>
      <c r="I72" s="103">
        <v>200</v>
      </c>
      <c r="J72" s="103">
        <v>200</v>
      </c>
      <c r="K72" s="103">
        <v>180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55.2</v>
      </c>
      <c r="E73" s="103">
        <v>-0.8</v>
      </c>
      <c r="F73" s="103">
        <v>55.2</v>
      </c>
      <c r="G73" s="103">
        <v>55.3</v>
      </c>
      <c r="H73" s="103">
        <v>41</v>
      </c>
      <c r="I73" s="103">
        <v>55</v>
      </c>
      <c r="J73" s="103">
        <v>55.5</v>
      </c>
      <c r="K73" s="103">
        <v>61.6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96</v>
      </c>
      <c r="E74" s="104">
        <v>-1.43E-2</v>
      </c>
      <c r="F74" s="103">
        <v>1</v>
      </c>
      <c r="G74" s="103">
        <v>1</v>
      </c>
      <c r="H74" s="103">
        <v>50</v>
      </c>
      <c r="I74" s="103">
        <v>56</v>
      </c>
      <c r="J74" s="103">
        <v>54.6</v>
      </c>
      <c r="K74" s="103">
        <v>50.4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0.60416666666666663</v>
      </c>
      <c r="D75" s="103">
        <v>105</v>
      </c>
      <c r="E75" s="103" t="s">
        <v>14</v>
      </c>
      <c r="F75" s="103">
        <v>104.5</v>
      </c>
      <c r="G75" s="103">
        <v>105</v>
      </c>
      <c r="H75" s="103">
        <v>221</v>
      </c>
      <c r="I75" s="103">
        <v>104</v>
      </c>
      <c r="J75" s="103">
        <v>107</v>
      </c>
      <c r="K75" s="103">
        <v>115.5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691</v>
      </c>
      <c r="E76" s="104" t="s">
        <v>14</v>
      </c>
      <c r="F76" s="103">
        <v>26</v>
      </c>
      <c r="G76" s="103">
        <v>10</v>
      </c>
      <c r="H76" s="105">
        <v>327</v>
      </c>
      <c r="I76" s="103">
        <v>105</v>
      </c>
      <c r="J76" s="103">
        <v>104</v>
      </c>
      <c r="K76" s="103">
        <v>94.5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0.60416666666666663</v>
      </c>
      <c r="D77" s="103">
        <v>243</v>
      </c>
      <c r="E77" s="103">
        <v>2</v>
      </c>
      <c r="F77" s="103">
        <v>242.5</v>
      </c>
      <c r="G77" s="103">
        <v>243</v>
      </c>
      <c r="H77" s="105">
        <v>250</v>
      </c>
      <c r="I77" s="103">
        <v>242</v>
      </c>
      <c r="J77" s="103">
        <v>243.5</v>
      </c>
      <c r="K77" s="103">
        <v>265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624</v>
      </c>
      <c r="E78" s="104">
        <v>8.3000000000000001E-3</v>
      </c>
      <c r="F78" s="103">
        <v>4</v>
      </c>
      <c r="G78" s="103">
        <v>9</v>
      </c>
      <c r="H78" s="105">
        <v>365</v>
      </c>
      <c r="I78" s="103">
        <v>241</v>
      </c>
      <c r="J78" s="103">
        <v>240.5</v>
      </c>
      <c r="K78" s="103">
        <v>217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0.53768518518518515</v>
      </c>
      <c r="D79" s="103">
        <v>64.3</v>
      </c>
      <c r="E79" s="103">
        <v>-0.4</v>
      </c>
      <c r="F79" s="103">
        <v>64.099999999999994</v>
      </c>
      <c r="G79" s="103">
        <v>64.5</v>
      </c>
      <c r="H79" s="103">
        <v>1</v>
      </c>
      <c r="I79" s="103">
        <v>64.599999999999994</v>
      </c>
      <c r="J79" s="103">
        <v>64.7</v>
      </c>
      <c r="K79" s="103">
        <v>71.099999999999994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5</v>
      </c>
      <c r="E80" s="104">
        <v>-6.1999999999999998E-3</v>
      </c>
      <c r="F80" s="103">
        <v>1</v>
      </c>
      <c r="G80" s="103">
        <v>1</v>
      </c>
      <c r="H80" s="103">
        <v>4</v>
      </c>
      <c r="I80" s="103">
        <v>64.7</v>
      </c>
      <c r="J80" s="103">
        <v>64.099999999999994</v>
      </c>
      <c r="K80" s="103">
        <v>58.3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207</v>
      </c>
      <c r="E81" s="103">
        <v>-0.5</v>
      </c>
      <c r="F81" s="103">
        <v>206.5</v>
      </c>
      <c r="G81" s="103">
        <v>207.5</v>
      </c>
      <c r="H81" s="103">
        <v>11</v>
      </c>
      <c r="I81" s="103">
        <v>208</v>
      </c>
      <c r="J81" s="103">
        <v>208</v>
      </c>
      <c r="K81" s="103">
        <v>228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19</v>
      </c>
      <c r="E82" s="104">
        <v>-2.3999999999999998E-3</v>
      </c>
      <c r="F82" s="103">
        <v>2</v>
      </c>
      <c r="G82" s="103">
        <v>1</v>
      </c>
      <c r="H82" s="103">
        <v>6</v>
      </c>
      <c r="I82" s="103">
        <v>207.5</v>
      </c>
      <c r="J82" s="103">
        <v>206.5</v>
      </c>
      <c r="K82" s="103">
        <v>187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0.5625</v>
      </c>
      <c r="D83" s="103">
        <v>68.900000000000006</v>
      </c>
      <c r="E83" s="103">
        <v>0.5</v>
      </c>
      <c r="F83" s="103">
        <v>68.900000000000006</v>
      </c>
      <c r="G83" s="103">
        <v>69.2</v>
      </c>
      <c r="H83" s="105">
        <v>1643</v>
      </c>
      <c r="I83" s="103">
        <v>68.900000000000006</v>
      </c>
      <c r="J83" s="103">
        <v>69.599999999999994</v>
      </c>
      <c r="K83" s="103">
        <v>75.2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2729</v>
      </c>
      <c r="E84" s="104">
        <v>7.3000000000000001E-3</v>
      </c>
      <c r="F84" s="103">
        <v>71</v>
      </c>
      <c r="G84" s="103">
        <v>8</v>
      </c>
      <c r="H84" s="105">
        <v>1005</v>
      </c>
      <c r="I84" s="103">
        <v>68.400000000000006</v>
      </c>
      <c r="J84" s="103">
        <v>68.599999999999994</v>
      </c>
      <c r="K84" s="103">
        <v>61.6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49.6</v>
      </c>
      <c r="E85" s="103">
        <v>0.55000000000000004</v>
      </c>
      <c r="F85" s="103">
        <v>49.55</v>
      </c>
      <c r="G85" s="103">
        <v>49.6</v>
      </c>
      <c r="H85" s="105">
        <v>720</v>
      </c>
      <c r="I85" s="103">
        <v>49</v>
      </c>
      <c r="J85" s="103">
        <v>49.6</v>
      </c>
      <c r="K85" s="103">
        <v>53.9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1682</v>
      </c>
      <c r="E86" s="104">
        <v>1.12E-2</v>
      </c>
      <c r="F86" s="103">
        <v>2</v>
      </c>
      <c r="G86" s="103">
        <v>2</v>
      </c>
      <c r="H86" s="105">
        <v>933</v>
      </c>
      <c r="I86" s="103">
        <v>49.05</v>
      </c>
      <c r="J86" s="103">
        <v>48.85</v>
      </c>
      <c r="K86" s="103">
        <v>44.15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0.5625</v>
      </c>
      <c r="D87" s="103">
        <v>49.15</v>
      </c>
      <c r="E87" s="103">
        <v>4.45</v>
      </c>
      <c r="F87" s="103">
        <v>49.15</v>
      </c>
      <c r="G87" s="103" t="s">
        <v>14</v>
      </c>
      <c r="H87" s="105">
        <v>1562</v>
      </c>
      <c r="I87" s="103">
        <v>44.95</v>
      </c>
      <c r="J87" s="103">
        <v>49.15</v>
      </c>
      <c r="K87" s="103">
        <v>49.15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5997</v>
      </c>
      <c r="E88" s="104">
        <v>9.9599999999999994E-2</v>
      </c>
      <c r="F88" s="105">
        <v>2680</v>
      </c>
      <c r="G88" s="103" t="s">
        <v>14</v>
      </c>
      <c r="H88" s="105">
        <v>4415</v>
      </c>
      <c r="I88" s="103">
        <v>44.7</v>
      </c>
      <c r="J88" s="103">
        <v>44.6</v>
      </c>
      <c r="K88" s="103">
        <v>40.25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384</v>
      </c>
      <c r="E89" s="103">
        <v>-3</v>
      </c>
      <c r="F89" s="103">
        <v>384</v>
      </c>
      <c r="G89" s="103">
        <v>385.5</v>
      </c>
      <c r="H89" s="103">
        <v>157</v>
      </c>
      <c r="I89" s="103">
        <v>388.5</v>
      </c>
      <c r="J89" s="103">
        <v>389</v>
      </c>
      <c r="K89" s="103">
        <v>425.5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302</v>
      </c>
      <c r="E90" s="104">
        <v>-7.7999999999999996E-3</v>
      </c>
      <c r="F90" s="103">
        <v>2</v>
      </c>
      <c r="G90" s="103">
        <v>2</v>
      </c>
      <c r="H90" s="105">
        <v>117</v>
      </c>
      <c r="I90" s="103">
        <v>387</v>
      </c>
      <c r="J90" s="103">
        <v>380</v>
      </c>
      <c r="K90" s="103">
        <v>348.5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806</v>
      </c>
      <c r="E91" s="103">
        <v>-8</v>
      </c>
      <c r="F91" s="103">
        <v>806</v>
      </c>
      <c r="G91" s="103">
        <v>807</v>
      </c>
      <c r="H91" s="103">
        <v>33</v>
      </c>
      <c r="I91" s="103">
        <v>797</v>
      </c>
      <c r="J91" s="103">
        <v>816</v>
      </c>
      <c r="K91" s="103">
        <v>895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94</v>
      </c>
      <c r="E92" s="104">
        <v>-9.7999999999999997E-3</v>
      </c>
      <c r="F92" s="103">
        <v>3</v>
      </c>
      <c r="G92" s="103">
        <v>1</v>
      </c>
      <c r="H92" s="103">
        <v>61</v>
      </c>
      <c r="I92" s="103">
        <v>814</v>
      </c>
      <c r="J92" s="103">
        <v>797</v>
      </c>
      <c r="K92" s="103">
        <v>733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9.5000000000000001E-2</v>
      </c>
      <c r="G94" s="86">
        <f>F94-M94</f>
        <v>0</v>
      </c>
      <c r="H94" s="87">
        <f>F94/M94-1</f>
        <v>0</v>
      </c>
      <c r="I94" s="98">
        <v>1889</v>
      </c>
      <c r="J94" s="100">
        <v>9.4E-2</v>
      </c>
      <c r="K94" s="100">
        <v>9.5000000000000001E-2</v>
      </c>
      <c r="L94" s="100">
        <v>9.4E-2</v>
      </c>
      <c r="M94" s="88">
        <v>9.5000000000000001E-2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0.28499999999999998</v>
      </c>
      <c r="G95" s="86">
        <f>F95-M95</f>
        <v>-1.5000000000000013E-2</v>
      </c>
      <c r="H95" s="87">
        <f>F95/M95-1</f>
        <v>-5.0000000000000044E-2</v>
      </c>
      <c r="I95" s="98">
        <v>420</v>
      </c>
      <c r="J95" s="100">
        <v>0.3</v>
      </c>
      <c r="K95" s="100">
        <v>0.31</v>
      </c>
      <c r="L95" s="100">
        <v>0.28499999999999998</v>
      </c>
      <c r="M95" s="88">
        <v>0.3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5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landscape" r:id="rId2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45722.781876851855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22715.43</v>
      </c>
      <c r="E6" s="94">
        <v>22871.9</v>
      </c>
      <c r="F6" s="33">
        <f>(D6-E6)/E6</f>
        <v>-6.841145685316968E-3</v>
      </c>
      <c r="G6" s="34"/>
      <c r="H6" s="91">
        <f>ROUND(360345720860/100000000,2)</f>
        <v>3603.46</v>
      </c>
      <c r="I6" s="91">
        <v>3697.32</v>
      </c>
      <c r="J6" s="35">
        <f>+H6-I6</f>
        <v>-93.860000000000127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24369.71</v>
      </c>
      <c r="E8" s="90">
        <v>23594.21</v>
      </c>
      <c r="F8" s="33">
        <f>(D8-E8)/E8</f>
        <v>3.2868233350470309E-2</v>
      </c>
      <c r="G8" s="34"/>
      <c r="H8" s="91">
        <v>3771.46</v>
      </c>
      <c r="I8" s="91">
        <v>2586.89</v>
      </c>
      <c r="J8" s="35">
        <f>+H8-I8</f>
        <v>1184.5700000000002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今日收盤3/6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19.5" customHeight="1" outlineLevel="1" collapsed="1" x14ac:dyDescent="0.25">
      <c r="A13" s="59">
        <v>2926</v>
      </c>
      <c r="B13" s="57" t="s">
        <v>79</v>
      </c>
      <c r="C13" s="57"/>
      <c r="D13" s="60">
        <f>D59</f>
        <v>52.7</v>
      </c>
      <c r="E13" s="60">
        <f>I60</f>
        <v>52.9</v>
      </c>
      <c r="F13" s="61">
        <f>D13-E13</f>
        <v>-0.19999999999999574</v>
      </c>
      <c r="G13" s="62">
        <f>F13/E13</f>
        <v>-3.7807183364838514E-3</v>
      </c>
      <c r="H13" s="63">
        <f>I59</f>
        <v>52.5</v>
      </c>
      <c r="I13" s="60">
        <f>J60</f>
        <v>52.1</v>
      </c>
      <c r="J13" s="60">
        <f>J59</f>
        <v>52.7</v>
      </c>
      <c r="K13" s="64">
        <f>D60</f>
        <v>6</v>
      </c>
      <c r="L13" s="64">
        <f>+O13*D13</f>
        <v>2497.4345550000003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262</v>
      </c>
      <c r="E14" s="60">
        <f>I64</f>
        <v>261.5</v>
      </c>
      <c r="F14" s="61">
        <f t="shared" ref="F14:F30" si="0">D14-E14</f>
        <v>0.5</v>
      </c>
      <c r="G14" s="62">
        <f>F14/E14</f>
        <v>1.9120458891013384E-3</v>
      </c>
      <c r="H14" s="63">
        <f>I63</f>
        <v>261</v>
      </c>
      <c r="I14" s="60">
        <f>J64</f>
        <v>261</v>
      </c>
      <c r="J14" s="60">
        <f>J63</f>
        <v>263</v>
      </c>
      <c r="K14" s="73">
        <f>D64</f>
        <v>1249</v>
      </c>
      <c r="L14" s="64">
        <f>+O14*D14</f>
        <v>272380.96400000004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192</v>
      </c>
      <c r="E15" s="71">
        <f>$I$50</f>
        <v>192</v>
      </c>
      <c r="F15" s="61">
        <f>D15-E15</f>
        <v>0</v>
      </c>
      <c r="G15" s="62">
        <f>F15/E15</f>
        <v>0</v>
      </c>
      <c r="H15" s="72">
        <f>$I$49</f>
        <v>192.5</v>
      </c>
      <c r="I15" s="60">
        <f>J50</f>
        <v>192</v>
      </c>
      <c r="J15" s="71">
        <f>$J$49</f>
        <v>192.5</v>
      </c>
      <c r="K15" s="73">
        <f>$D$50</f>
        <v>23</v>
      </c>
      <c r="L15" s="64">
        <f>D15*O15</f>
        <v>42858.239999999998</v>
      </c>
      <c r="M15" s="74"/>
      <c r="N15" s="74"/>
      <c r="O15" s="70">
        <v>223.22</v>
      </c>
      <c r="Q15" s="17"/>
      <c r="R15" s="17"/>
    </row>
    <row r="16" spans="1:27" s="75" customFormat="1" ht="19.5" customHeight="1" outlineLevel="1" x14ac:dyDescent="0.25">
      <c r="A16" s="76">
        <v>2945</v>
      </c>
      <c r="B16" s="57" t="s">
        <v>124</v>
      </c>
      <c r="C16" s="57"/>
      <c r="D16" s="71">
        <f>D47</f>
        <v>41.05</v>
      </c>
      <c r="E16" s="71">
        <f>I48</f>
        <v>40.799999999999997</v>
      </c>
      <c r="F16" s="61">
        <f>D16-E16</f>
        <v>0.25</v>
      </c>
      <c r="G16" s="62">
        <f>F16/E16</f>
        <v>6.1274509803921576E-3</v>
      </c>
      <c r="H16" s="72">
        <f>I47</f>
        <v>40.5</v>
      </c>
      <c r="I16" s="60">
        <f>J48</f>
        <v>40.450000000000003</v>
      </c>
      <c r="J16" s="71">
        <f>J47</f>
        <v>41.05</v>
      </c>
      <c r="K16" s="73">
        <f>D48</f>
        <v>10</v>
      </c>
      <c r="L16" s="64">
        <f>D16*O16</f>
        <v>2770.875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25.5</v>
      </c>
      <c r="E17" s="60">
        <f>I66</f>
        <v>25.55</v>
      </c>
      <c r="F17" s="61">
        <f t="shared" si="0"/>
        <v>-5.0000000000000711E-2</v>
      </c>
      <c r="G17" s="62">
        <f t="shared" ref="G17:G22" si="1">F17/E17</f>
        <v>-1.9569471624266421E-3</v>
      </c>
      <c r="H17" s="63">
        <f>I65</f>
        <v>25.5</v>
      </c>
      <c r="I17" s="60">
        <f>J66</f>
        <v>25.25</v>
      </c>
      <c r="J17" s="60">
        <f>J65</f>
        <v>25.7</v>
      </c>
      <c r="K17" s="64">
        <f>D66</f>
        <v>4039</v>
      </c>
      <c r="L17" s="64">
        <f>+O17*D17</f>
        <v>36131.995499999997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530</v>
      </c>
      <c r="E18" s="60">
        <f>I68</f>
        <v>521</v>
      </c>
      <c r="F18" s="61">
        <f t="shared" si="0"/>
        <v>9</v>
      </c>
      <c r="G18" s="62">
        <f t="shared" si="1"/>
        <v>1.7274472168905951E-2</v>
      </c>
      <c r="H18" s="63">
        <f>I67</f>
        <v>521</v>
      </c>
      <c r="I18" s="60">
        <f>J68</f>
        <v>521</v>
      </c>
      <c r="J18" s="60">
        <f>J67</f>
        <v>533</v>
      </c>
      <c r="K18" s="64">
        <f>D68</f>
        <v>569</v>
      </c>
      <c r="L18" s="64">
        <f>+O18*D18</f>
        <v>55616.08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10.25</v>
      </c>
      <c r="E19" s="60">
        <f>I70</f>
        <v>10.199999999999999</v>
      </c>
      <c r="F19" s="61">
        <f t="shared" si="0"/>
        <v>5.0000000000000711E-2</v>
      </c>
      <c r="G19" s="62">
        <f>F19/E19</f>
        <v>4.9019607843137957E-3</v>
      </c>
      <c r="H19" s="63">
        <f>I69</f>
        <v>10.199999999999999</v>
      </c>
      <c r="I19" s="60">
        <f>J70</f>
        <v>10.199999999999999</v>
      </c>
      <c r="J19" s="60">
        <f>J69</f>
        <v>10.35</v>
      </c>
      <c r="K19" s="64">
        <f>D70</f>
        <v>139</v>
      </c>
      <c r="L19" s="64">
        <f>+O19*D19</f>
        <v>2004.1927500000002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35.700000000000003</v>
      </c>
      <c r="E20" s="60">
        <f>I62</f>
        <v>36.049999999999997</v>
      </c>
      <c r="F20" s="61">
        <f>D20-E20</f>
        <v>-0.34999999999999432</v>
      </c>
      <c r="G20" s="62">
        <f>F20/E20</f>
        <v>-9.7087378640775129E-3</v>
      </c>
      <c r="H20" s="63">
        <f>I61</f>
        <v>35.9</v>
      </c>
      <c r="I20" s="60">
        <f>J62</f>
        <v>35.549999999999997</v>
      </c>
      <c r="J20" s="60">
        <f>J61</f>
        <v>35.950000000000003</v>
      </c>
      <c r="K20" s="64">
        <f>D62</f>
        <v>11</v>
      </c>
      <c r="L20" s="64">
        <f>O20*D20</f>
        <v>2142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206.5</v>
      </c>
      <c r="E21" s="60">
        <f>I72</f>
        <v>203</v>
      </c>
      <c r="F21" s="61">
        <f t="shared" si="0"/>
        <v>3.5</v>
      </c>
      <c r="G21" s="62">
        <f t="shared" si="1"/>
        <v>1.7241379310344827E-2</v>
      </c>
      <c r="H21" s="63">
        <f>I71</f>
        <v>204.5</v>
      </c>
      <c r="I21" s="60">
        <f>J72</f>
        <v>204.5</v>
      </c>
      <c r="J21" s="60">
        <f>J71</f>
        <v>208</v>
      </c>
      <c r="K21" s="64">
        <f>D72</f>
        <v>692</v>
      </c>
      <c r="L21" s="64">
        <f t="shared" ref="L21:L28" si="2">+O21*D21</f>
        <v>26308.719500000003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54.7</v>
      </c>
      <c r="E22" s="60">
        <f>I74</f>
        <v>55.2</v>
      </c>
      <c r="F22" s="61">
        <f t="shared" si="0"/>
        <v>-0.5</v>
      </c>
      <c r="G22" s="62">
        <f t="shared" si="1"/>
        <v>-9.057971014492754E-3</v>
      </c>
      <c r="H22" s="63">
        <f>I73</f>
        <v>55.9</v>
      </c>
      <c r="I22" s="60">
        <f>J74</f>
        <v>54.7</v>
      </c>
      <c r="J22" s="60">
        <f>J73</f>
        <v>56</v>
      </c>
      <c r="K22" s="64">
        <f>D74</f>
        <v>64</v>
      </c>
      <c r="L22" s="64">
        <f t="shared" si="2"/>
        <v>20070.652162100003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53.5</v>
      </c>
      <c r="E23" s="60">
        <f>I56</f>
        <v>53</v>
      </c>
      <c r="F23" s="61">
        <f>D23-E23</f>
        <v>0.5</v>
      </c>
      <c r="G23" s="62">
        <f>F23/E23</f>
        <v>9.433962264150943E-3</v>
      </c>
      <c r="H23" s="63">
        <f>I55</f>
        <v>53.1</v>
      </c>
      <c r="I23" s="60">
        <f>J56</f>
        <v>53</v>
      </c>
      <c r="J23" s="60">
        <f>J55</f>
        <v>54.4</v>
      </c>
      <c r="K23" s="64">
        <f>D56</f>
        <v>454</v>
      </c>
      <c r="L23" s="64">
        <f t="shared" si="2"/>
        <v>4896.6409999999996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63.8</v>
      </c>
      <c r="E24" s="60">
        <f>I58</f>
        <v>63.1</v>
      </c>
      <c r="F24" s="68">
        <f t="shared" si="0"/>
        <v>0.69999999999999574</v>
      </c>
      <c r="G24" s="69">
        <f>F24/E24</f>
        <v>1.1093502377179014E-2</v>
      </c>
      <c r="H24" s="63">
        <f>I57</f>
        <v>64</v>
      </c>
      <c r="I24" s="60">
        <f>J58</f>
        <v>63.2</v>
      </c>
      <c r="J24" s="60">
        <f>J57</f>
        <v>64.5</v>
      </c>
      <c r="K24" s="64">
        <f>D58</f>
        <v>472</v>
      </c>
      <c r="L24" s="64">
        <f t="shared" si="2"/>
        <v>6748.7001999999993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105</v>
      </c>
      <c r="E25" s="71">
        <f>I76</f>
        <v>105</v>
      </c>
      <c r="F25" s="68">
        <f t="shared" si="0"/>
        <v>0</v>
      </c>
      <c r="G25" s="69">
        <f t="shared" ref="G25:G31" si="3">F25/E25</f>
        <v>0</v>
      </c>
      <c r="H25" s="72">
        <f>I75</f>
        <v>104</v>
      </c>
      <c r="I25" s="60">
        <f>J76</f>
        <v>104</v>
      </c>
      <c r="J25" s="71">
        <f>J75</f>
        <v>106.5</v>
      </c>
      <c r="K25" s="73">
        <f>D76</f>
        <v>492</v>
      </c>
      <c r="L25" s="64">
        <f t="shared" si="2"/>
        <v>18900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242</v>
      </c>
      <c r="E26" s="71">
        <f>I78</f>
        <v>243</v>
      </c>
      <c r="F26" s="68">
        <f t="shared" si="0"/>
        <v>-1</v>
      </c>
      <c r="G26" s="69">
        <f t="shared" si="3"/>
        <v>-4.11522633744856E-3</v>
      </c>
      <c r="H26" s="72">
        <f>I77</f>
        <v>244.5</v>
      </c>
      <c r="I26" s="71">
        <f>J78</f>
        <v>242</v>
      </c>
      <c r="J26" s="71">
        <f>J77</f>
        <v>244.5</v>
      </c>
      <c r="K26" s="73">
        <f>D78</f>
        <v>353</v>
      </c>
      <c r="L26" s="64">
        <f t="shared" si="2"/>
        <v>20437.142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63.8</v>
      </c>
      <c r="E27" s="71">
        <f>I80</f>
        <v>64.3</v>
      </c>
      <c r="F27" s="68">
        <f>D27-E27</f>
        <v>-0.5</v>
      </c>
      <c r="G27" s="69">
        <f>F27/E27</f>
        <v>-7.7760497667185074E-3</v>
      </c>
      <c r="H27" s="72">
        <f>I79</f>
        <v>64.900000000000006</v>
      </c>
      <c r="I27" s="71">
        <f>J80</f>
        <v>63.8</v>
      </c>
      <c r="J27" s="71">
        <f>J79</f>
        <v>64.900000000000006</v>
      </c>
      <c r="K27" s="73">
        <f>D80</f>
        <v>5</v>
      </c>
      <c r="L27" s="64">
        <f t="shared" si="2"/>
        <v>2066.4500999999996</v>
      </c>
      <c r="M27" s="74"/>
      <c r="N27" s="74"/>
      <c r="O27" s="70">
        <v>32.389499999999998</v>
      </c>
      <c r="Q27" s="17"/>
      <c r="R27" s="17"/>
    </row>
    <row r="28" spans="1:18" s="75" customFormat="1" ht="19.5" customHeight="1" outlineLevel="1" x14ac:dyDescent="0.25">
      <c r="A28" s="76">
        <v>2729</v>
      </c>
      <c r="B28" s="57" t="s">
        <v>7</v>
      </c>
      <c r="C28" s="57"/>
      <c r="D28" s="71">
        <f>D81</f>
        <v>207.5</v>
      </c>
      <c r="E28" s="71">
        <f>I82</f>
        <v>207</v>
      </c>
      <c r="F28" s="68">
        <f t="shared" si="0"/>
        <v>0.5</v>
      </c>
      <c r="G28" s="69">
        <f t="shared" si="3"/>
        <v>2.4154589371980675E-3</v>
      </c>
      <c r="H28" s="72">
        <f>I81</f>
        <v>207.5</v>
      </c>
      <c r="I28" s="71">
        <f>J82</f>
        <v>207</v>
      </c>
      <c r="J28" s="71">
        <f>J81</f>
        <v>207.5</v>
      </c>
      <c r="K28" s="73">
        <f>D82</f>
        <v>9</v>
      </c>
      <c r="L28" s="64">
        <f t="shared" si="2"/>
        <v>8196.4574999999986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109</v>
      </c>
      <c r="E29" s="71">
        <f>I46</f>
        <v>104.69</v>
      </c>
      <c r="F29" s="68">
        <f>D29-E29</f>
        <v>4.3100000000000023</v>
      </c>
      <c r="G29" s="69">
        <f>F29/E29</f>
        <v>4.1169166109466068E-2</v>
      </c>
      <c r="H29" s="72">
        <f>I45</f>
        <v>106.5</v>
      </c>
      <c r="I29" s="71">
        <f>J46</f>
        <v>105.5</v>
      </c>
      <c r="J29" s="71">
        <f>J45</f>
        <v>111.5</v>
      </c>
      <c r="K29" s="73">
        <f>D46</f>
        <v>63</v>
      </c>
      <c r="L29" s="64">
        <f>+D29*O29</f>
        <v>2232.9871889999999</v>
      </c>
      <c r="M29" s="74"/>
      <c r="N29" s="74"/>
      <c r="O29" s="70">
        <v>20.486121000000001</v>
      </c>
      <c r="Q29" s="17"/>
      <c r="R29" s="17"/>
    </row>
    <row r="30" spans="1:18" s="75" customFormat="1" ht="19.5" customHeight="1" outlineLevel="1" x14ac:dyDescent="0.25">
      <c r="A30" s="76">
        <v>8044</v>
      </c>
      <c r="B30" s="57" t="s">
        <v>91</v>
      </c>
      <c r="C30" s="57"/>
      <c r="D30" s="71">
        <f>D87</f>
        <v>48.55</v>
      </c>
      <c r="E30" s="71">
        <f>I88</f>
        <v>49.15</v>
      </c>
      <c r="F30" s="68">
        <f t="shared" si="0"/>
        <v>-0.60000000000000142</v>
      </c>
      <c r="G30" s="69">
        <f t="shared" si="3"/>
        <v>-1.2207527975584973E-2</v>
      </c>
      <c r="H30" s="72">
        <f>I87</f>
        <v>49.75</v>
      </c>
      <c r="I30" s="71">
        <f>J88</f>
        <v>48</v>
      </c>
      <c r="J30" s="71">
        <f>J87</f>
        <v>50.2</v>
      </c>
      <c r="K30" s="73">
        <f>D88</f>
        <v>11487</v>
      </c>
      <c r="L30" s="64">
        <f>D30*O30</f>
        <v>9984.1618499999986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49.35</v>
      </c>
      <c r="E31" s="71">
        <f>I86</f>
        <v>49.6</v>
      </c>
      <c r="F31" s="68">
        <f>D31-E31</f>
        <v>-0.25</v>
      </c>
      <c r="G31" s="69">
        <f t="shared" si="3"/>
        <v>-5.0403225806451612E-3</v>
      </c>
      <c r="H31" s="72">
        <f>I85</f>
        <v>49.75</v>
      </c>
      <c r="I31" s="71">
        <f>J86</f>
        <v>49.1</v>
      </c>
      <c r="J31" s="71">
        <f>J85</f>
        <v>50.2</v>
      </c>
      <c r="K31" s="73">
        <f>D86</f>
        <v>886</v>
      </c>
      <c r="L31" s="64">
        <f>+O31*D31</f>
        <v>31202.179050000002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391</v>
      </c>
      <c r="E32" s="71">
        <f>I90</f>
        <v>384</v>
      </c>
      <c r="F32" s="68">
        <f>D32-E32</f>
        <v>7</v>
      </c>
      <c r="G32" s="69">
        <f>F32/E32</f>
        <v>1.8229166666666668E-2</v>
      </c>
      <c r="H32" s="72">
        <f>I89</f>
        <v>385</v>
      </c>
      <c r="I32" s="71">
        <f>J90</f>
        <v>384</v>
      </c>
      <c r="J32" s="71">
        <f>J89</f>
        <v>394</v>
      </c>
      <c r="K32" s="73">
        <f>D90</f>
        <v>499</v>
      </c>
      <c r="L32" s="64">
        <f>+O32*D32</f>
        <v>98671.587</v>
      </c>
      <c r="M32" s="74"/>
      <c r="N32" s="74"/>
      <c r="O32" s="70">
        <v>252.357</v>
      </c>
      <c r="Q32" s="17"/>
      <c r="R32" s="17"/>
    </row>
    <row r="33" spans="1:25" s="75" customFormat="1" ht="19.5" customHeight="1" outlineLevel="1" x14ac:dyDescent="0.25">
      <c r="A33" s="76">
        <v>8477</v>
      </c>
      <c r="B33" s="57" t="s">
        <v>118</v>
      </c>
      <c r="C33" s="57"/>
      <c r="D33" s="71">
        <f>D53</f>
        <v>13.25</v>
      </c>
      <c r="E33" s="71">
        <f>I54</f>
        <v>13.35</v>
      </c>
      <c r="F33" s="68">
        <f>D33-E33</f>
        <v>-9.9999999999999645E-2</v>
      </c>
      <c r="G33" s="69">
        <f>F33/E33</f>
        <v>-7.4906367041198234E-3</v>
      </c>
      <c r="H33" s="72">
        <f>I53</f>
        <v>13.35</v>
      </c>
      <c r="I33" s="71">
        <f>J54</f>
        <v>13.2</v>
      </c>
      <c r="J33" s="71">
        <f>J53</f>
        <v>13.45</v>
      </c>
      <c r="K33" s="73">
        <f>D54</f>
        <v>56</v>
      </c>
      <c r="L33" s="64">
        <f>+O33*D33</f>
        <v>850.26575000000014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101</v>
      </c>
      <c r="E34" s="71">
        <f>$I$52</f>
        <v>99.7</v>
      </c>
      <c r="F34" s="68">
        <f>D34-E34</f>
        <v>1.2999999999999972</v>
      </c>
      <c r="G34" s="69">
        <f>F34/E34</f>
        <v>1.3039117352056139E-2</v>
      </c>
      <c r="H34" s="72">
        <f>$I$51</f>
        <v>100.5</v>
      </c>
      <c r="I34" s="71">
        <f>J52</f>
        <v>99.9</v>
      </c>
      <c r="J34" s="71">
        <f>$J$51</f>
        <v>101.5</v>
      </c>
      <c r="K34" s="73">
        <f>$D$52</f>
        <v>190</v>
      </c>
      <c r="L34" s="64">
        <f>+O34*D34</f>
        <v>12178.378000000001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797</v>
      </c>
      <c r="E35" s="71">
        <f>I92</f>
        <v>806</v>
      </c>
      <c r="F35" s="68">
        <f>D35-E35</f>
        <v>-9</v>
      </c>
      <c r="G35" s="69">
        <f>F35/E35</f>
        <v>-1.1166253101736972E-2</v>
      </c>
      <c r="H35" s="72">
        <f>I91</f>
        <v>808</v>
      </c>
      <c r="I35" s="71">
        <f>J92</f>
        <v>765</v>
      </c>
      <c r="J35" s="71">
        <f>J91</f>
        <v>815</v>
      </c>
      <c r="K35" s="73">
        <f>D92</f>
        <v>140</v>
      </c>
      <c r="L35" s="64">
        <f>+O35*D35</f>
        <v>54196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9.4E-2</v>
      </c>
      <c r="E38" s="60">
        <f>M94</f>
        <v>9.5000000000000001E-2</v>
      </c>
      <c r="F38" s="61">
        <f>D38-E38</f>
        <v>-1.0000000000000009E-3</v>
      </c>
      <c r="G38" s="62">
        <f>F38/E38</f>
        <v>-1.0526315789473693E-2</v>
      </c>
      <c r="H38" s="63">
        <f>J94</f>
        <v>9.5000000000000001E-2</v>
      </c>
      <c r="I38" s="60">
        <f>L94</f>
        <v>0.09</v>
      </c>
      <c r="J38" s="60">
        <f>K94</f>
        <v>9.6000000000000002E-2</v>
      </c>
      <c r="K38" s="64">
        <f>I94</f>
        <v>3537</v>
      </c>
      <c r="L38" s="64">
        <f>+O38*D38</f>
        <v>247.64600800000002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0.31</v>
      </c>
      <c r="E39" s="60">
        <f>M95</f>
        <v>0.28499999999999998</v>
      </c>
      <c r="F39" s="61">
        <f>D39-E39</f>
        <v>2.5000000000000022E-2</v>
      </c>
      <c r="G39" s="77">
        <f>F39/E39</f>
        <v>8.7719298245614127E-2</v>
      </c>
      <c r="H39" s="63">
        <f>J95</f>
        <v>0.31</v>
      </c>
      <c r="I39" s="60">
        <f>L95</f>
        <v>0.28499999999999998</v>
      </c>
      <c r="J39" s="60">
        <f>K95</f>
        <v>0.31</v>
      </c>
      <c r="K39" s="64">
        <f>I95</f>
        <v>227</v>
      </c>
      <c r="L39" s="64">
        <f>+O39*D39</f>
        <v>522.70494999999994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0.61331018518518521</v>
      </c>
      <c r="D45" s="103">
        <v>109</v>
      </c>
      <c r="E45" s="103">
        <v>4.3099999999999996</v>
      </c>
      <c r="F45" s="103">
        <v>108.5</v>
      </c>
      <c r="G45" s="103">
        <v>111</v>
      </c>
      <c r="H45" s="103">
        <v>11</v>
      </c>
      <c r="I45" s="103">
        <v>106.5</v>
      </c>
      <c r="J45" s="103">
        <v>111.5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63</v>
      </c>
      <c r="E46" s="104">
        <v>4.1200000000000001E-2</v>
      </c>
      <c r="F46" s="105">
        <v>4000</v>
      </c>
      <c r="G46" s="105">
        <v>2000</v>
      </c>
      <c r="H46" s="103">
        <v>44</v>
      </c>
      <c r="I46" s="103">
        <v>104.69</v>
      </c>
      <c r="J46" s="103">
        <v>105.5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0.47258101851851847</v>
      </c>
      <c r="D47" s="103">
        <v>41.05</v>
      </c>
      <c r="E47" s="103">
        <v>0.25</v>
      </c>
      <c r="F47" s="103">
        <v>40.799999999999997</v>
      </c>
      <c r="G47" s="103">
        <v>41.05</v>
      </c>
      <c r="H47" s="103">
        <v>7</v>
      </c>
      <c r="I47" s="103">
        <v>40.5</v>
      </c>
      <c r="J47" s="103">
        <v>41.05</v>
      </c>
      <c r="K47" s="103">
        <v>44.85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10</v>
      </c>
      <c r="E48" s="104">
        <v>6.1000000000000004E-3</v>
      </c>
      <c r="F48" s="103">
        <v>10</v>
      </c>
      <c r="G48" s="103">
        <v>5</v>
      </c>
      <c r="H48" s="103">
        <v>3</v>
      </c>
      <c r="I48" s="103">
        <v>40.799999999999997</v>
      </c>
      <c r="J48" s="103">
        <v>40.450000000000003</v>
      </c>
      <c r="K48" s="103">
        <v>36.75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192</v>
      </c>
      <c r="E49" s="103" t="s">
        <v>14</v>
      </c>
      <c r="F49" s="103">
        <v>192</v>
      </c>
      <c r="G49" s="103">
        <v>192.5</v>
      </c>
      <c r="H49" s="103">
        <v>11</v>
      </c>
      <c r="I49" s="103">
        <v>192.5</v>
      </c>
      <c r="J49" s="103">
        <v>192.5</v>
      </c>
      <c r="K49" s="103">
        <v>211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23</v>
      </c>
      <c r="E50" s="104" t="s">
        <v>14</v>
      </c>
      <c r="F50" s="103">
        <v>9</v>
      </c>
      <c r="G50" s="103">
        <v>15</v>
      </c>
      <c r="H50" s="103">
        <v>12</v>
      </c>
      <c r="I50" s="103">
        <v>192</v>
      </c>
      <c r="J50" s="103">
        <v>192</v>
      </c>
      <c r="K50" s="103">
        <v>173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0.5625</v>
      </c>
      <c r="D51" s="103">
        <v>101</v>
      </c>
      <c r="E51" s="103">
        <v>1.3</v>
      </c>
      <c r="F51" s="103">
        <v>101</v>
      </c>
      <c r="G51" s="103">
        <v>101.5</v>
      </c>
      <c r="H51" s="105">
        <v>102</v>
      </c>
      <c r="I51" s="103">
        <v>100.5</v>
      </c>
      <c r="J51" s="103">
        <v>101.5</v>
      </c>
      <c r="K51" s="103">
        <v>109.5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190</v>
      </c>
      <c r="E52" s="104">
        <v>1.2999999999999999E-2</v>
      </c>
      <c r="F52" s="103">
        <v>35</v>
      </c>
      <c r="G52" s="103">
        <v>9</v>
      </c>
      <c r="H52" s="105">
        <v>77</v>
      </c>
      <c r="I52" s="103">
        <v>99.7</v>
      </c>
      <c r="J52" s="103">
        <v>99.9</v>
      </c>
      <c r="K52" s="103">
        <v>89.8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13.25</v>
      </c>
      <c r="E53" s="103">
        <v>-0.1</v>
      </c>
      <c r="F53" s="103">
        <v>13.2</v>
      </c>
      <c r="G53" s="103">
        <v>13.4</v>
      </c>
      <c r="H53" s="103">
        <v>36</v>
      </c>
      <c r="I53" s="103">
        <v>13.35</v>
      </c>
      <c r="J53" s="103">
        <v>13.45</v>
      </c>
      <c r="K53" s="103">
        <v>14.65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56</v>
      </c>
      <c r="E54" s="104">
        <v>-7.4999999999999997E-3</v>
      </c>
      <c r="F54" s="103">
        <v>2</v>
      </c>
      <c r="G54" s="103">
        <v>3</v>
      </c>
      <c r="H54" s="103">
        <v>20</v>
      </c>
      <c r="I54" s="103">
        <v>13.35</v>
      </c>
      <c r="J54" s="103">
        <v>13.2</v>
      </c>
      <c r="K54" s="103">
        <v>12.05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53.5</v>
      </c>
      <c r="E55" s="103">
        <v>0.5</v>
      </c>
      <c r="F55" s="103">
        <v>53.5</v>
      </c>
      <c r="G55" s="103">
        <v>53.7</v>
      </c>
      <c r="H55" s="105">
        <v>218</v>
      </c>
      <c r="I55" s="103">
        <v>53.1</v>
      </c>
      <c r="J55" s="103">
        <v>54.4</v>
      </c>
      <c r="K55" s="103">
        <v>58.3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454</v>
      </c>
      <c r="E56" s="104">
        <v>9.4000000000000004E-3</v>
      </c>
      <c r="F56" s="103">
        <v>2</v>
      </c>
      <c r="G56" s="103">
        <v>4</v>
      </c>
      <c r="H56" s="105">
        <v>233</v>
      </c>
      <c r="I56" s="103">
        <v>53</v>
      </c>
      <c r="J56" s="103">
        <v>53</v>
      </c>
      <c r="K56" s="103">
        <v>47.7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0.60416666666666663</v>
      </c>
      <c r="D57" s="103">
        <v>63.8</v>
      </c>
      <c r="E57" s="103">
        <v>0.7</v>
      </c>
      <c r="F57" s="103">
        <v>63.8</v>
      </c>
      <c r="G57" s="103">
        <v>63.9</v>
      </c>
      <c r="H57" s="105">
        <v>208</v>
      </c>
      <c r="I57" s="103">
        <v>64</v>
      </c>
      <c r="J57" s="103">
        <v>64.5</v>
      </c>
      <c r="K57" s="103">
        <v>69.400000000000006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472</v>
      </c>
      <c r="E58" s="104">
        <v>1.11E-2</v>
      </c>
      <c r="F58" s="103">
        <v>2</v>
      </c>
      <c r="G58" s="103">
        <v>2</v>
      </c>
      <c r="H58" s="105">
        <v>240</v>
      </c>
      <c r="I58" s="103">
        <v>63.1</v>
      </c>
      <c r="J58" s="103">
        <v>63.2</v>
      </c>
      <c r="K58" s="103">
        <v>56.8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0.55313657407407402</v>
      </c>
      <c r="D59" s="103">
        <v>52.7</v>
      </c>
      <c r="E59" s="103">
        <v>-0.2</v>
      </c>
      <c r="F59" s="103">
        <v>52.6</v>
      </c>
      <c r="G59" s="103">
        <v>52.7</v>
      </c>
      <c r="H59" s="103">
        <v>6</v>
      </c>
      <c r="I59" s="103">
        <v>52.5</v>
      </c>
      <c r="J59" s="103">
        <v>52.7</v>
      </c>
      <c r="K59" s="103">
        <v>58.1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6</v>
      </c>
      <c r="E60" s="104">
        <v>-3.8E-3</v>
      </c>
      <c r="F60" s="103">
        <v>1</v>
      </c>
      <c r="G60" s="103">
        <v>1</v>
      </c>
      <c r="H60" s="103" t="s">
        <v>14</v>
      </c>
      <c r="I60" s="103">
        <v>52.9</v>
      </c>
      <c r="J60" s="103">
        <v>52.1</v>
      </c>
      <c r="K60" s="103">
        <v>47.65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0.57450231481481484</v>
      </c>
      <c r="D61" s="103">
        <v>35.700000000000003</v>
      </c>
      <c r="E61" s="103">
        <v>-0.35</v>
      </c>
      <c r="F61" s="103">
        <v>35.549999999999997</v>
      </c>
      <c r="G61" s="103">
        <v>35.950000000000003</v>
      </c>
      <c r="H61" s="103">
        <v>5</v>
      </c>
      <c r="I61" s="103">
        <v>35.9</v>
      </c>
      <c r="J61" s="103">
        <v>35.950000000000003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11</v>
      </c>
      <c r="E62" s="104">
        <v>-9.7000000000000003E-3</v>
      </c>
      <c r="F62" s="105">
        <v>3000</v>
      </c>
      <c r="G62" s="105">
        <v>3</v>
      </c>
      <c r="H62" s="103">
        <v>5</v>
      </c>
      <c r="I62" s="103">
        <v>36.049999999999997</v>
      </c>
      <c r="J62" s="103">
        <v>35.549999999999997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0.60416666666666663</v>
      </c>
      <c r="D63" s="103">
        <v>262</v>
      </c>
      <c r="E63" s="103">
        <v>0.5</v>
      </c>
      <c r="F63" s="103">
        <v>262</v>
      </c>
      <c r="G63" s="103">
        <v>262.5</v>
      </c>
      <c r="H63" s="105">
        <v>1024</v>
      </c>
      <c r="I63" s="103">
        <v>261</v>
      </c>
      <c r="J63" s="103">
        <v>263</v>
      </c>
      <c r="K63" s="103">
        <v>287.5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1249</v>
      </c>
      <c r="E64" s="104">
        <v>1.9E-3</v>
      </c>
      <c r="F64" s="103">
        <v>17</v>
      </c>
      <c r="G64" s="103">
        <v>17</v>
      </c>
      <c r="H64" s="105">
        <v>172</v>
      </c>
      <c r="I64" s="103">
        <v>261.5</v>
      </c>
      <c r="J64" s="103">
        <v>261</v>
      </c>
      <c r="K64" s="103">
        <v>235.5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25.5</v>
      </c>
      <c r="E65" s="103">
        <v>-0.05</v>
      </c>
      <c r="F65" s="103">
        <v>25.5</v>
      </c>
      <c r="G65" s="103">
        <v>25.55</v>
      </c>
      <c r="H65" s="105">
        <v>2405</v>
      </c>
      <c r="I65" s="103">
        <v>25.5</v>
      </c>
      <c r="J65" s="103">
        <v>25.7</v>
      </c>
      <c r="K65" s="103">
        <v>28.1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4039</v>
      </c>
      <c r="E66" s="104">
        <v>-2E-3</v>
      </c>
      <c r="F66" s="103">
        <v>10</v>
      </c>
      <c r="G66" s="103">
        <v>60</v>
      </c>
      <c r="H66" s="105">
        <v>1576</v>
      </c>
      <c r="I66" s="103">
        <v>25.55</v>
      </c>
      <c r="J66" s="103">
        <v>25.25</v>
      </c>
      <c r="K66" s="103">
        <v>23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530</v>
      </c>
      <c r="E67" s="103">
        <v>9</v>
      </c>
      <c r="F67" s="103">
        <v>528</v>
      </c>
      <c r="G67" s="103">
        <v>530</v>
      </c>
      <c r="H67" s="103">
        <v>215</v>
      </c>
      <c r="I67" s="103">
        <v>521</v>
      </c>
      <c r="J67" s="103">
        <v>533</v>
      </c>
      <c r="K67" s="103">
        <v>573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569</v>
      </c>
      <c r="E68" s="104">
        <v>1.7299999999999999E-2</v>
      </c>
      <c r="F68" s="103">
        <v>2</v>
      </c>
      <c r="G68" s="103">
        <v>2</v>
      </c>
      <c r="H68" s="103">
        <v>322</v>
      </c>
      <c r="I68" s="103">
        <v>521</v>
      </c>
      <c r="J68" s="103">
        <v>521</v>
      </c>
      <c r="K68" s="103">
        <v>469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10.25</v>
      </c>
      <c r="E69" s="103">
        <v>0.05</v>
      </c>
      <c r="F69" s="103">
        <v>10.199999999999999</v>
      </c>
      <c r="G69" s="103">
        <v>10.25</v>
      </c>
      <c r="H69" s="105">
        <v>60</v>
      </c>
      <c r="I69" s="103">
        <v>10.199999999999999</v>
      </c>
      <c r="J69" s="103">
        <v>10.35</v>
      </c>
      <c r="K69" s="103">
        <v>11.2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139</v>
      </c>
      <c r="E70" s="104">
        <v>4.8999999999999998E-3</v>
      </c>
      <c r="F70" s="103">
        <v>23</v>
      </c>
      <c r="G70" s="103">
        <v>5</v>
      </c>
      <c r="H70" s="105">
        <v>70</v>
      </c>
      <c r="I70" s="103">
        <v>10.199999999999999</v>
      </c>
      <c r="J70" s="103">
        <v>10.199999999999999</v>
      </c>
      <c r="K70" s="103">
        <v>9.18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0.60416666666666663</v>
      </c>
      <c r="D71" s="103">
        <v>206.5</v>
      </c>
      <c r="E71" s="103">
        <v>3.5</v>
      </c>
      <c r="F71" s="103">
        <v>206.5</v>
      </c>
      <c r="G71" s="103">
        <v>207</v>
      </c>
      <c r="H71" s="103">
        <v>294</v>
      </c>
      <c r="I71" s="103">
        <v>204.5</v>
      </c>
      <c r="J71" s="103">
        <v>208</v>
      </c>
      <c r="K71" s="103">
        <v>223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692</v>
      </c>
      <c r="E72" s="104">
        <v>1.72E-2</v>
      </c>
      <c r="F72" s="103">
        <v>5</v>
      </c>
      <c r="G72" s="103">
        <v>6</v>
      </c>
      <c r="H72" s="103">
        <v>392</v>
      </c>
      <c r="I72" s="103">
        <v>203</v>
      </c>
      <c r="J72" s="103">
        <v>204.5</v>
      </c>
      <c r="K72" s="103">
        <v>183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54.7</v>
      </c>
      <c r="E73" s="103">
        <v>-0.5</v>
      </c>
      <c r="F73" s="103">
        <v>54.7</v>
      </c>
      <c r="G73" s="103">
        <v>54.8</v>
      </c>
      <c r="H73" s="103">
        <v>48</v>
      </c>
      <c r="I73" s="103">
        <v>55.9</v>
      </c>
      <c r="J73" s="103">
        <v>56</v>
      </c>
      <c r="K73" s="103">
        <v>60.7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64</v>
      </c>
      <c r="E74" s="104">
        <v>-9.1000000000000004E-3</v>
      </c>
      <c r="F74" s="103">
        <v>4</v>
      </c>
      <c r="G74" s="103">
        <v>1</v>
      </c>
      <c r="H74" s="103">
        <v>16</v>
      </c>
      <c r="I74" s="103">
        <v>55.2</v>
      </c>
      <c r="J74" s="103">
        <v>54.7</v>
      </c>
      <c r="K74" s="103">
        <v>49.7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105</v>
      </c>
      <c r="E75" s="103" t="s">
        <v>14</v>
      </c>
      <c r="F75" s="103">
        <v>104.5</v>
      </c>
      <c r="G75" s="103">
        <v>105.5</v>
      </c>
      <c r="H75" s="103">
        <v>240</v>
      </c>
      <c r="I75" s="103">
        <v>104</v>
      </c>
      <c r="J75" s="103">
        <v>106.5</v>
      </c>
      <c r="K75" s="103">
        <v>115.5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492</v>
      </c>
      <c r="E76" s="104" t="s">
        <v>14</v>
      </c>
      <c r="F76" s="103">
        <v>23</v>
      </c>
      <c r="G76" s="103">
        <v>15</v>
      </c>
      <c r="H76" s="105">
        <v>220</v>
      </c>
      <c r="I76" s="103">
        <v>105</v>
      </c>
      <c r="J76" s="103">
        <v>104</v>
      </c>
      <c r="K76" s="103">
        <v>94.5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0.60416666666666663</v>
      </c>
      <c r="D77" s="103">
        <v>242</v>
      </c>
      <c r="E77" s="103">
        <v>-1</v>
      </c>
      <c r="F77" s="103">
        <v>242</v>
      </c>
      <c r="G77" s="103">
        <v>242.5</v>
      </c>
      <c r="H77" s="105">
        <v>224</v>
      </c>
      <c r="I77" s="103">
        <v>244.5</v>
      </c>
      <c r="J77" s="103">
        <v>244.5</v>
      </c>
      <c r="K77" s="103">
        <v>267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353</v>
      </c>
      <c r="E78" s="104">
        <v>-4.1000000000000003E-3</v>
      </c>
      <c r="F78" s="103">
        <v>17</v>
      </c>
      <c r="G78" s="103">
        <v>7</v>
      </c>
      <c r="H78" s="105">
        <v>125</v>
      </c>
      <c r="I78" s="103">
        <v>243</v>
      </c>
      <c r="J78" s="103">
        <v>242</v>
      </c>
      <c r="K78" s="103">
        <v>219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0.5625</v>
      </c>
      <c r="D79" s="103">
        <v>63.8</v>
      </c>
      <c r="E79" s="103">
        <v>-0.5</v>
      </c>
      <c r="F79" s="103">
        <v>63.8</v>
      </c>
      <c r="G79" s="103">
        <v>64.2</v>
      </c>
      <c r="H79" s="103">
        <v>3</v>
      </c>
      <c r="I79" s="103">
        <v>64.900000000000006</v>
      </c>
      <c r="J79" s="103">
        <v>64.900000000000006</v>
      </c>
      <c r="K79" s="103">
        <v>70.7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5</v>
      </c>
      <c r="E80" s="104">
        <v>-7.7999999999999996E-3</v>
      </c>
      <c r="F80" s="103">
        <v>1</v>
      </c>
      <c r="G80" s="103">
        <v>1</v>
      </c>
      <c r="H80" s="103">
        <v>1</v>
      </c>
      <c r="I80" s="103">
        <v>64.3</v>
      </c>
      <c r="J80" s="103">
        <v>63.8</v>
      </c>
      <c r="K80" s="103">
        <v>57.9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207.5</v>
      </c>
      <c r="E81" s="103">
        <v>0.5</v>
      </c>
      <c r="F81" s="103">
        <v>207</v>
      </c>
      <c r="G81" s="103">
        <v>208.5</v>
      </c>
      <c r="H81" s="103">
        <v>7</v>
      </c>
      <c r="I81" s="103">
        <v>207.5</v>
      </c>
      <c r="J81" s="103">
        <v>207.5</v>
      </c>
      <c r="K81" s="103">
        <v>227.5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9</v>
      </c>
      <c r="E82" s="104">
        <v>2.3999999999999998E-3</v>
      </c>
      <c r="F82" s="103">
        <v>2</v>
      </c>
      <c r="G82" s="103">
        <v>3</v>
      </c>
      <c r="H82" s="103">
        <v>2</v>
      </c>
      <c r="I82" s="103">
        <v>207</v>
      </c>
      <c r="J82" s="103">
        <v>207</v>
      </c>
      <c r="K82" s="103">
        <v>186.5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0.60416666666666663</v>
      </c>
      <c r="D83" s="103">
        <v>68.599999999999994</v>
      </c>
      <c r="E83" s="103">
        <v>-0.3</v>
      </c>
      <c r="F83" s="103">
        <v>68.599999999999994</v>
      </c>
      <c r="G83" s="103">
        <v>68.8</v>
      </c>
      <c r="H83" s="105">
        <v>1686</v>
      </c>
      <c r="I83" s="103">
        <v>69.3</v>
      </c>
      <c r="J83" s="103">
        <v>70</v>
      </c>
      <c r="K83" s="103">
        <v>75.7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2238</v>
      </c>
      <c r="E84" s="104">
        <v>-4.4000000000000003E-3</v>
      </c>
      <c r="F84" s="103">
        <v>105</v>
      </c>
      <c r="G84" s="103">
        <v>64</v>
      </c>
      <c r="H84" s="105">
        <v>537</v>
      </c>
      <c r="I84" s="103">
        <v>68.900000000000006</v>
      </c>
      <c r="J84" s="103">
        <v>68.599999999999994</v>
      </c>
      <c r="K84" s="103">
        <v>62.1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49.35</v>
      </c>
      <c r="E85" s="103">
        <v>-0.25</v>
      </c>
      <c r="F85" s="103">
        <v>49.3</v>
      </c>
      <c r="G85" s="103">
        <v>49.35</v>
      </c>
      <c r="H85" s="105">
        <v>552</v>
      </c>
      <c r="I85" s="103">
        <v>49.75</v>
      </c>
      <c r="J85" s="103">
        <v>50.2</v>
      </c>
      <c r="K85" s="103">
        <v>54.5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886</v>
      </c>
      <c r="E86" s="104">
        <v>-5.0000000000000001E-3</v>
      </c>
      <c r="F86" s="103">
        <v>12</v>
      </c>
      <c r="G86" s="103">
        <v>5</v>
      </c>
      <c r="H86" s="105">
        <v>321</v>
      </c>
      <c r="I86" s="103">
        <v>49.6</v>
      </c>
      <c r="J86" s="103">
        <v>49.1</v>
      </c>
      <c r="K86" s="103">
        <v>44.65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48.55</v>
      </c>
      <c r="E87" s="103">
        <v>-0.6</v>
      </c>
      <c r="F87" s="103">
        <v>48.5</v>
      </c>
      <c r="G87" s="103">
        <v>48.55</v>
      </c>
      <c r="H87" s="105">
        <v>5995</v>
      </c>
      <c r="I87" s="103">
        <v>49.75</v>
      </c>
      <c r="J87" s="103">
        <v>50.2</v>
      </c>
      <c r="K87" s="103">
        <v>54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11487</v>
      </c>
      <c r="E88" s="104">
        <v>-1.2200000000000001E-2</v>
      </c>
      <c r="F88" s="105">
        <v>6</v>
      </c>
      <c r="G88" s="103">
        <v>9</v>
      </c>
      <c r="H88" s="105">
        <v>5027</v>
      </c>
      <c r="I88" s="103">
        <v>49.15</v>
      </c>
      <c r="J88" s="103">
        <v>48</v>
      </c>
      <c r="K88" s="103">
        <v>44.25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0.60416666666666663</v>
      </c>
      <c r="D89" s="103">
        <v>391</v>
      </c>
      <c r="E89" s="103">
        <v>7</v>
      </c>
      <c r="F89" s="103">
        <v>390</v>
      </c>
      <c r="G89" s="103">
        <v>391</v>
      </c>
      <c r="H89" s="103">
        <v>144</v>
      </c>
      <c r="I89" s="103">
        <v>385</v>
      </c>
      <c r="J89" s="103">
        <v>394</v>
      </c>
      <c r="K89" s="103">
        <v>422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499</v>
      </c>
      <c r="E90" s="104">
        <v>1.8200000000000001E-2</v>
      </c>
      <c r="F90" s="103">
        <v>2</v>
      </c>
      <c r="G90" s="103">
        <v>1</v>
      </c>
      <c r="H90" s="105">
        <v>350</v>
      </c>
      <c r="I90" s="103">
        <v>384</v>
      </c>
      <c r="J90" s="103">
        <v>384</v>
      </c>
      <c r="K90" s="103">
        <v>346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797</v>
      </c>
      <c r="E91" s="103">
        <v>-9</v>
      </c>
      <c r="F91" s="103">
        <v>797</v>
      </c>
      <c r="G91" s="103">
        <v>801</v>
      </c>
      <c r="H91" s="103">
        <v>98</v>
      </c>
      <c r="I91" s="103">
        <v>808</v>
      </c>
      <c r="J91" s="103">
        <v>815</v>
      </c>
      <c r="K91" s="103">
        <v>886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140</v>
      </c>
      <c r="E92" s="104">
        <v>-1.12E-2</v>
      </c>
      <c r="F92" s="103">
        <v>4</v>
      </c>
      <c r="G92" s="103">
        <v>1</v>
      </c>
      <c r="H92" s="103">
        <v>42</v>
      </c>
      <c r="I92" s="103">
        <v>806</v>
      </c>
      <c r="J92" s="103">
        <v>765</v>
      </c>
      <c r="K92" s="103">
        <v>726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9.4E-2</v>
      </c>
      <c r="G94" s="86">
        <f>F94-M94</f>
        <v>-1.0000000000000009E-3</v>
      </c>
      <c r="H94" s="87">
        <f>F94/M94-1</f>
        <v>-1.0526315789473717E-2</v>
      </c>
      <c r="I94" s="98">
        <v>3537</v>
      </c>
      <c r="J94" s="100">
        <v>9.5000000000000001E-2</v>
      </c>
      <c r="K94" s="100">
        <v>9.6000000000000002E-2</v>
      </c>
      <c r="L94" s="100">
        <v>0.09</v>
      </c>
      <c r="M94" s="88">
        <v>9.5000000000000001E-2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0.31</v>
      </c>
      <c r="G95" s="86">
        <f>F95-M95</f>
        <v>2.5000000000000022E-2</v>
      </c>
      <c r="H95" s="87">
        <f>F95/M95-1</f>
        <v>8.7719298245614086E-2</v>
      </c>
      <c r="I95" s="98">
        <v>227</v>
      </c>
      <c r="J95" s="100">
        <v>0.31</v>
      </c>
      <c r="K95" s="100">
        <v>0.31</v>
      </c>
      <c r="L95" s="100">
        <v>0.28499999999999998</v>
      </c>
      <c r="M95" s="88">
        <v>0.28499999999999998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6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landscape" r:id="rId2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45723.780826041664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22576.07</v>
      </c>
      <c r="E6" s="94">
        <v>22715.43</v>
      </c>
      <c r="F6" s="33">
        <f>(D6-E6)/E6</f>
        <v>-6.1350368449992181E-3</v>
      </c>
      <c r="G6" s="34"/>
      <c r="H6" s="91">
        <f>ROUND(367291980202/100000000,2)</f>
        <v>3672.92</v>
      </c>
      <c r="I6" s="91">
        <v>3603.46</v>
      </c>
      <c r="J6" s="35">
        <f>+H6-I6</f>
        <v>69.460000000000036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24231.3</v>
      </c>
      <c r="E8" s="90">
        <v>24369.71</v>
      </c>
      <c r="F8" s="33">
        <f>(D8-E8)/E8</f>
        <v>-5.679591591364848E-3</v>
      </c>
      <c r="G8" s="34"/>
      <c r="H8" s="91">
        <v>3831.66</v>
      </c>
      <c r="I8" s="91">
        <v>3771.46</v>
      </c>
      <c r="J8" s="35">
        <f>+H8-I8</f>
        <v>60.199999999999818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今日收盤3/7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19.5" customHeight="1" outlineLevel="1" collapsed="1" x14ac:dyDescent="0.25">
      <c r="A13" s="59">
        <v>2926</v>
      </c>
      <c r="B13" s="57" t="s">
        <v>79</v>
      </c>
      <c r="C13" s="57"/>
      <c r="D13" s="60">
        <f>D59</f>
        <v>52.6</v>
      </c>
      <c r="E13" s="60">
        <f>I60</f>
        <v>52.7</v>
      </c>
      <c r="F13" s="61">
        <f>D13-E13</f>
        <v>-0.10000000000000142</v>
      </c>
      <c r="G13" s="62">
        <f>F13/E13</f>
        <v>-1.8975332068311465E-3</v>
      </c>
      <c r="H13" s="63">
        <f>I59</f>
        <v>51</v>
      </c>
      <c r="I13" s="60">
        <f>J60</f>
        <v>51</v>
      </c>
      <c r="J13" s="60">
        <f>J59</f>
        <v>52.6</v>
      </c>
      <c r="K13" s="64">
        <f>D60</f>
        <v>8</v>
      </c>
      <c r="L13" s="64">
        <f>+O13*D13</f>
        <v>2492.6955900000003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262</v>
      </c>
      <c r="E14" s="60">
        <f>I64</f>
        <v>262</v>
      </c>
      <c r="F14" s="61">
        <f t="shared" ref="F14:F30" si="0">D14-E14</f>
        <v>0</v>
      </c>
      <c r="G14" s="62">
        <f>F14/E14</f>
        <v>0</v>
      </c>
      <c r="H14" s="63">
        <f>I63</f>
        <v>263.5</v>
      </c>
      <c r="I14" s="60">
        <f>J64</f>
        <v>261</v>
      </c>
      <c r="J14" s="60">
        <f>J63</f>
        <v>263.5</v>
      </c>
      <c r="K14" s="73">
        <f>D64</f>
        <v>1372</v>
      </c>
      <c r="L14" s="64">
        <f>+O14*D14</f>
        <v>272380.96400000004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192</v>
      </c>
      <c r="E15" s="71">
        <f>$I$50</f>
        <v>192</v>
      </c>
      <c r="F15" s="61">
        <f>D15-E15</f>
        <v>0</v>
      </c>
      <c r="G15" s="62">
        <f>F15/E15</f>
        <v>0</v>
      </c>
      <c r="H15" s="72">
        <f>$I$49</f>
        <v>192.5</v>
      </c>
      <c r="I15" s="60">
        <f>J50</f>
        <v>192</v>
      </c>
      <c r="J15" s="71">
        <f>$J$49</f>
        <v>193</v>
      </c>
      <c r="K15" s="73">
        <f>$D$50</f>
        <v>37</v>
      </c>
      <c r="L15" s="64">
        <f>D15*O15</f>
        <v>42858.239999999998</v>
      </c>
      <c r="M15" s="74"/>
      <c r="N15" s="74"/>
      <c r="O15" s="70">
        <v>223.22</v>
      </c>
      <c r="Q15" s="17"/>
      <c r="R15" s="17"/>
    </row>
    <row r="16" spans="1:27" s="75" customFormat="1" ht="19.5" customHeight="1" outlineLevel="1" x14ac:dyDescent="0.25">
      <c r="A16" s="76">
        <v>2945</v>
      </c>
      <c r="B16" s="57" t="s">
        <v>124</v>
      </c>
      <c r="C16" s="57"/>
      <c r="D16" s="71">
        <f>D47</f>
        <v>40.85</v>
      </c>
      <c r="E16" s="71">
        <f>I48</f>
        <v>41.05</v>
      </c>
      <c r="F16" s="61">
        <f>D16-E16</f>
        <v>-0.19999999999999574</v>
      </c>
      <c r="G16" s="62">
        <f>F16/E16</f>
        <v>-4.8721071863579964E-3</v>
      </c>
      <c r="H16" s="72">
        <f>I47</f>
        <v>40.799999999999997</v>
      </c>
      <c r="I16" s="60">
        <f>J48</f>
        <v>40.799999999999997</v>
      </c>
      <c r="J16" s="71">
        <f>J47</f>
        <v>40.9</v>
      </c>
      <c r="K16" s="73">
        <f>D48</f>
        <v>3</v>
      </c>
      <c r="L16" s="64">
        <f>D16*O16</f>
        <v>2757.375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25.3</v>
      </c>
      <c r="E17" s="60">
        <f>I66</f>
        <v>25.5</v>
      </c>
      <c r="F17" s="61">
        <f t="shared" si="0"/>
        <v>-0.19999999999999929</v>
      </c>
      <c r="G17" s="62">
        <f t="shared" ref="G17:G22" si="1">F17/E17</f>
        <v>-7.8431372549019329E-3</v>
      </c>
      <c r="H17" s="63">
        <f>I65</f>
        <v>25.55</v>
      </c>
      <c r="I17" s="60">
        <f>J66</f>
        <v>25.15</v>
      </c>
      <c r="J17" s="60">
        <f>J65</f>
        <v>25.7</v>
      </c>
      <c r="K17" s="64">
        <f>D66</f>
        <v>3204</v>
      </c>
      <c r="L17" s="64">
        <f>+O17*D17</f>
        <v>35848.607300000003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524</v>
      </c>
      <c r="E18" s="60">
        <f>I68</f>
        <v>530</v>
      </c>
      <c r="F18" s="61">
        <f t="shared" si="0"/>
        <v>-6</v>
      </c>
      <c r="G18" s="62">
        <f t="shared" si="1"/>
        <v>-1.1320754716981131E-2</v>
      </c>
      <c r="H18" s="63">
        <f>I67</f>
        <v>527</v>
      </c>
      <c r="I18" s="60">
        <f>J68</f>
        <v>519</v>
      </c>
      <c r="J18" s="60">
        <f>J67</f>
        <v>529</v>
      </c>
      <c r="K18" s="64">
        <f>D68</f>
        <v>504</v>
      </c>
      <c r="L18" s="64">
        <f>+O18*D18</f>
        <v>54986.464000000007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9.99</v>
      </c>
      <c r="E19" s="60">
        <f>I70</f>
        <v>10.25</v>
      </c>
      <c r="F19" s="61">
        <f t="shared" si="0"/>
        <v>-0.25999999999999979</v>
      </c>
      <c r="G19" s="62">
        <f>F19/E19</f>
        <v>-2.5365853658536566E-2</v>
      </c>
      <c r="H19" s="63">
        <f>I69</f>
        <v>10.3</v>
      </c>
      <c r="I19" s="60">
        <f>J70</f>
        <v>9.98</v>
      </c>
      <c r="J19" s="60">
        <f>J69</f>
        <v>10.3</v>
      </c>
      <c r="K19" s="64">
        <f>D70</f>
        <v>409</v>
      </c>
      <c r="L19" s="64">
        <f>+O19*D19</f>
        <v>1953.3546900000001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35.5</v>
      </c>
      <c r="E20" s="60">
        <f>I62</f>
        <v>35.69</v>
      </c>
      <c r="F20" s="61">
        <f>D20-E20</f>
        <v>-0.18999999999999773</v>
      </c>
      <c r="G20" s="62">
        <f>F20/E20</f>
        <v>-5.3236200616418533E-3</v>
      </c>
      <c r="H20" s="63">
        <f>I61</f>
        <v>35.5</v>
      </c>
      <c r="I20" s="60">
        <f>J62</f>
        <v>35.1</v>
      </c>
      <c r="J20" s="60">
        <f>J61</f>
        <v>35.65</v>
      </c>
      <c r="K20" s="64">
        <f>D62</f>
        <v>5</v>
      </c>
      <c r="L20" s="64">
        <f>O20*D20</f>
        <v>2130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206</v>
      </c>
      <c r="E21" s="60">
        <f>I72</f>
        <v>206.5</v>
      </c>
      <c r="F21" s="61">
        <f t="shared" si="0"/>
        <v>-0.5</v>
      </c>
      <c r="G21" s="62">
        <f t="shared" si="1"/>
        <v>-2.4213075060532689E-3</v>
      </c>
      <c r="H21" s="63">
        <f>I71</f>
        <v>208</v>
      </c>
      <c r="I21" s="60">
        <f>J72</f>
        <v>205.5</v>
      </c>
      <c r="J21" s="60">
        <f>J71</f>
        <v>208</v>
      </c>
      <c r="K21" s="64">
        <f>D72</f>
        <v>216</v>
      </c>
      <c r="L21" s="64">
        <f t="shared" ref="L21:L28" si="2">+O21*D21</f>
        <v>26245.018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53.8</v>
      </c>
      <c r="E22" s="60">
        <f>I74</f>
        <v>54.7</v>
      </c>
      <c r="F22" s="61">
        <f t="shared" si="0"/>
        <v>-0.90000000000000568</v>
      </c>
      <c r="G22" s="62">
        <f t="shared" si="1"/>
        <v>-1.6453382084095167E-2</v>
      </c>
      <c r="H22" s="63">
        <f>I73</f>
        <v>55.1</v>
      </c>
      <c r="I22" s="60">
        <f>J74</f>
        <v>53.8</v>
      </c>
      <c r="J22" s="60">
        <f>J73</f>
        <v>55.2</v>
      </c>
      <c r="K22" s="64">
        <f>D74</f>
        <v>93</v>
      </c>
      <c r="L22" s="64">
        <f t="shared" si="2"/>
        <v>19740.422053399998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53.7</v>
      </c>
      <c r="E23" s="60">
        <f>I56</f>
        <v>53.5</v>
      </c>
      <c r="F23" s="61">
        <f>D23-E23</f>
        <v>0.20000000000000284</v>
      </c>
      <c r="G23" s="62">
        <f>F23/E23</f>
        <v>3.7383177570093989E-3</v>
      </c>
      <c r="H23" s="63">
        <f>I55</f>
        <v>53.9</v>
      </c>
      <c r="I23" s="60">
        <f>J56</f>
        <v>53.1</v>
      </c>
      <c r="J23" s="60">
        <f>J55</f>
        <v>53.9</v>
      </c>
      <c r="K23" s="64">
        <f>D56</f>
        <v>164</v>
      </c>
      <c r="L23" s="64">
        <f t="shared" si="2"/>
        <v>4914.9462000000003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64</v>
      </c>
      <c r="E24" s="60">
        <f>I58</f>
        <v>63.8</v>
      </c>
      <c r="F24" s="68">
        <f t="shared" si="0"/>
        <v>0.20000000000000284</v>
      </c>
      <c r="G24" s="69">
        <f>F24/E24</f>
        <v>3.1347962382445587E-3</v>
      </c>
      <c r="H24" s="63">
        <f>I57</f>
        <v>64.400000000000006</v>
      </c>
      <c r="I24" s="60">
        <f>J58</f>
        <v>63.5</v>
      </c>
      <c r="J24" s="60">
        <f>J57</f>
        <v>64.400000000000006</v>
      </c>
      <c r="K24" s="64">
        <f>D58</f>
        <v>253</v>
      </c>
      <c r="L24" s="64">
        <f t="shared" si="2"/>
        <v>6769.8559999999998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103</v>
      </c>
      <c r="E25" s="71">
        <f>I76</f>
        <v>105</v>
      </c>
      <c r="F25" s="68">
        <f t="shared" si="0"/>
        <v>-2</v>
      </c>
      <c r="G25" s="69">
        <f t="shared" ref="G25:G31" si="3">F25/E25</f>
        <v>-1.9047619047619049E-2</v>
      </c>
      <c r="H25" s="72">
        <f>I75</f>
        <v>104</v>
      </c>
      <c r="I25" s="60">
        <f>J76</f>
        <v>103</v>
      </c>
      <c r="J25" s="71">
        <f>J75</f>
        <v>104.5</v>
      </c>
      <c r="K25" s="73">
        <f>D76</f>
        <v>159</v>
      </c>
      <c r="L25" s="64">
        <f t="shared" si="2"/>
        <v>18540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240</v>
      </c>
      <c r="E26" s="71">
        <f>I78</f>
        <v>242</v>
      </c>
      <c r="F26" s="68">
        <f t="shared" si="0"/>
        <v>-2</v>
      </c>
      <c r="G26" s="69">
        <f t="shared" si="3"/>
        <v>-8.2644628099173556E-3</v>
      </c>
      <c r="H26" s="72">
        <f>I77</f>
        <v>243</v>
      </c>
      <c r="I26" s="71">
        <f>J78</f>
        <v>240</v>
      </c>
      <c r="J26" s="71">
        <f>J77</f>
        <v>243</v>
      </c>
      <c r="K26" s="73">
        <f>D78</f>
        <v>300</v>
      </c>
      <c r="L26" s="64">
        <f t="shared" si="2"/>
        <v>20268.239999999998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64.099999999999994</v>
      </c>
      <c r="E27" s="71">
        <f>I80</f>
        <v>63.8</v>
      </c>
      <c r="F27" s="68">
        <f>D27-E27</f>
        <v>0.29999999999999716</v>
      </c>
      <c r="G27" s="69">
        <f>F27/E27</f>
        <v>4.7021943573667272E-3</v>
      </c>
      <c r="H27" s="72">
        <f>I79</f>
        <v>64.099999999999994</v>
      </c>
      <c r="I27" s="71">
        <f>J80</f>
        <v>64</v>
      </c>
      <c r="J27" s="71">
        <f>J79</f>
        <v>64.599999999999994</v>
      </c>
      <c r="K27" s="73">
        <f>D80</f>
        <v>7</v>
      </c>
      <c r="L27" s="64">
        <f t="shared" si="2"/>
        <v>2076.1669499999998</v>
      </c>
      <c r="M27" s="74"/>
      <c r="N27" s="74"/>
      <c r="O27" s="70">
        <v>32.389499999999998</v>
      </c>
      <c r="Q27" s="17"/>
      <c r="R27" s="17"/>
    </row>
    <row r="28" spans="1:18" s="75" customFormat="1" ht="19.5" customHeight="1" outlineLevel="1" x14ac:dyDescent="0.25">
      <c r="A28" s="76">
        <v>2729</v>
      </c>
      <c r="B28" s="57" t="s">
        <v>7</v>
      </c>
      <c r="C28" s="57"/>
      <c r="D28" s="71">
        <f>D81</f>
        <v>205.5</v>
      </c>
      <c r="E28" s="71">
        <f>I82</f>
        <v>207.5</v>
      </c>
      <c r="F28" s="68">
        <f t="shared" si="0"/>
        <v>-2</v>
      </c>
      <c r="G28" s="69">
        <f t="shared" si="3"/>
        <v>-9.6385542168674707E-3</v>
      </c>
      <c r="H28" s="72">
        <f>I81</f>
        <v>208</v>
      </c>
      <c r="I28" s="71">
        <f>J82</f>
        <v>205</v>
      </c>
      <c r="J28" s="71">
        <f>J81</f>
        <v>208</v>
      </c>
      <c r="K28" s="73">
        <f>D82</f>
        <v>11</v>
      </c>
      <c r="L28" s="64">
        <f t="shared" si="2"/>
        <v>8117.4554999999991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116</v>
      </c>
      <c r="E29" s="71">
        <f>I46</f>
        <v>109.22</v>
      </c>
      <c r="F29" s="68">
        <f>D29-E29</f>
        <v>6.7800000000000011</v>
      </c>
      <c r="G29" s="69">
        <f>F29/E29</f>
        <v>6.2076542757736691E-2</v>
      </c>
      <c r="H29" s="72">
        <f>I45</f>
        <v>112</v>
      </c>
      <c r="I29" s="71">
        <f>J46</f>
        <v>110</v>
      </c>
      <c r="J29" s="71">
        <f>J45</f>
        <v>116</v>
      </c>
      <c r="K29" s="73">
        <f>D46</f>
        <v>99</v>
      </c>
      <c r="L29" s="64">
        <f>+D29*O29</f>
        <v>2376.3900360000002</v>
      </c>
      <c r="M29" s="74"/>
      <c r="N29" s="74"/>
      <c r="O29" s="70">
        <v>20.486121000000001</v>
      </c>
      <c r="Q29" s="17"/>
      <c r="R29" s="17"/>
    </row>
    <row r="30" spans="1:18" s="75" customFormat="1" ht="19.5" customHeight="1" outlineLevel="1" x14ac:dyDescent="0.25">
      <c r="A30" s="76">
        <v>8044</v>
      </c>
      <c r="B30" s="57" t="s">
        <v>91</v>
      </c>
      <c r="C30" s="57"/>
      <c r="D30" s="71">
        <f>D87</f>
        <v>47.4</v>
      </c>
      <c r="E30" s="71">
        <f>I88</f>
        <v>48.55</v>
      </c>
      <c r="F30" s="68">
        <f t="shared" si="0"/>
        <v>-1.1499999999999986</v>
      </c>
      <c r="G30" s="69">
        <f t="shared" si="3"/>
        <v>-2.3686920700308933E-2</v>
      </c>
      <c r="H30" s="72">
        <f>I87</f>
        <v>48.3</v>
      </c>
      <c r="I30" s="71">
        <f>J88</f>
        <v>46.8</v>
      </c>
      <c r="J30" s="71">
        <f>J87</f>
        <v>49.05</v>
      </c>
      <c r="K30" s="73">
        <f>D88</f>
        <v>2098</v>
      </c>
      <c r="L30" s="64">
        <f>D30*O30</f>
        <v>9747.6677999999993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48.1</v>
      </c>
      <c r="E31" s="71">
        <f>I86</f>
        <v>49.35</v>
      </c>
      <c r="F31" s="68">
        <f>D31-E31</f>
        <v>-1.25</v>
      </c>
      <c r="G31" s="69">
        <f t="shared" si="3"/>
        <v>-2.5329280648429583E-2</v>
      </c>
      <c r="H31" s="72">
        <f>I85</f>
        <v>49</v>
      </c>
      <c r="I31" s="71">
        <f>J86</f>
        <v>48</v>
      </c>
      <c r="J31" s="71">
        <f>J85</f>
        <v>49.3</v>
      </c>
      <c r="K31" s="73">
        <f>D86</f>
        <v>1263</v>
      </c>
      <c r="L31" s="64">
        <f>+O31*D31</f>
        <v>30411.850300000002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387.5</v>
      </c>
      <c r="E32" s="71">
        <f>I90</f>
        <v>391</v>
      </c>
      <c r="F32" s="68">
        <f>D32-E32</f>
        <v>-3.5</v>
      </c>
      <c r="G32" s="69">
        <f>F32/E32</f>
        <v>-8.9514066496163679E-3</v>
      </c>
      <c r="H32" s="72">
        <f>I89</f>
        <v>390</v>
      </c>
      <c r="I32" s="71">
        <f>J90</f>
        <v>386</v>
      </c>
      <c r="J32" s="71">
        <f>J89</f>
        <v>391.5</v>
      </c>
      <c r="K32" s="73">
        <f>D90</f>
        <v>296</v>
      </c>
      <c r="L32" s="64">
        <f>+O32*D32</f>
        <v>97788.337499999994</v>
      </c>
      <c r="M32" s="74"/>
      <c r="N32" s="74"/>
      <c r="O32" s="70">
        <v>252.357</v>
      </c>
      <c r="Q32" s="17"/>
      <c r="R32" s="17"/>
    </row>
    <row r="33" spans="1:25" s="75" customFormat="1" ht="19.5" customHeight="1" outlineLevel="1" x14ac:dyDescent="0.25">
      <c r="A33" s="76">
        <v>8477</v>
      </c>
      <c r="B33" s="57" t="s">
        <v>118</v>
      </c>
      <c r="C33" s="57"/>
      <c r="D33" s="71">
        <f>D53</f>
        <v>12.8</v>
      </c>
      <c r="E33" s="71">
        <f>I54</f>
        <v>13.25</v>
      </c>
      <c r="F33" s="68">
        <f>D33-E33</f>
        <v>-0.44999999999999929</v>
      </c>
      <c r="G33" s="69">
        <f>F33/E33</f>
        <v>-3.396226415094334E-2</v>
      </c>
      <c r="H33" s="72">
        <f>I53</f>
        <v>13.2</v>
      </c>
      <c r="I33" s="71">
        <f>J54</f>
        <v>12.75</v>
      </c>
      <c r="J33" s="71">
        <f>J53</f>
        <v>13.2</v>
      </c>
      <c r="K33" s="73">
        <f>D54</f>
        <v>32</v>
      </c>
      <c r="L33" s="64">
        <f>+O33*D33</f>
        <v>821.38880000000017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101.5</v>
      </c>
      <c r="E34" s="71">
        <f>$I$52</f>
        <v>101</v>
      </c>
      <c r="F34" s="68">
        <f>D34-E34</f>
        <v>0.5</v>
      </c>
      <c r="G34" s="69">
        <f>F34/E34</f>
        <v>4.9504950495049506E-3</v>
      </c>
      <c r="H34" s="72">
        <f>$I$51</f>
        <v>102</v>
      </c>
      <c r="I34" s="71">
        <f>J52</f>
        <v>99</v>
      </c>
      <c r="J34" s="71">
        <f>$J$51</f>
        <v>103</v>
      </c>
      <c r="K34" s="73">
        <f>$D$52</f>
        <v>614</v>
      </c>
      <c r="L34" s="64">
        <f>+O34*D34</f>
        <v>12238.666999999999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776</v>
      </c>
      <c r="E35" s="71">
        <f>I92</f>
        <v>797</v>
      </c>
      <c r="F35" s="68">
        <f>D35-E35</f>
        <v>-21</v>
      </c>
      <c r="G35" s="69">
        <f>F35/E35</f>
        <v>-2.6348808030112924E-2</v>
      </c>
      <c r="H35" s="72">
        <f>I91</f>
        <v>773</v>
      </c>
      <c r="I35" s="71">
        <f>J92</f>
        <v>771</v>
      </c>
      <c r="J35" s="71">
        <f>J91</f>
        <v>794</v>
      </c>
      <c r="K35" s="73">
        <f>D92</f>
        <v>73</v>
      </c>
      <c r="L35" s="64">
        <f>+O35*D35</f>
        <v>52768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9.4E-2</v>
      </c>
      <c r="E38" s="60">
        <f>M94</f>
        <v>9.4E-2</v>
      </c>
      <c r="F38" s="61">
        <f>D38-E38</f>
        <v>0</v>
      </c>
      <c r="G38" s="62">
        <f>F38/E38</f>
        <v>0</v>
      </c>
      <c r="H38" s="63">
        <f>J94</f>
        <v>0.09</v>
      </c>
      <c r="I38" s="60">
        <f>L94</f>
        <v>8.6999999999999994E-2</v>
      </c>
      <c r="J38" s="60">
        <f>K94</f>
        <v>9.5000000000000001E-2</v>
      </c>
      <c r="K38" s="64">
        <f>I94</f>
        <v>366</v>
      </c>
      <c r="L38" s="64">
        <f>+O38*D38</f>
        <v>247.64600800000002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0.31</v>
      </c>
      <c r="E39" s="60">
        <f>M95</f>
        <v>0.31</v>
      </c>
      <c r="F39" s="61">
        <f>D39-E39</f>
        <v>0</v>
      </c>
      <c r="G39" s="77">
        <f>F39/E39</f>
        <v>0</v>
      </c>
      <c r="H39" s="63">
        <f>J95</f>
        <v>0.3</v>
      </c>
      <c r="I39" s="60">
        <f>L95</f>
        <v>0.29499999999999998</v>
      </c>
      <c r="J39" s="60">
        <f>K95</f>
        <v>0.31</v>
      </c>
      <c r="K39" s="64">
        <f>I95</f>
        <v>374</v>
      </c>
      <c r="L39" s="64">
        <f>+O39*D39</f>
        <v>522.70494999999994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0.62362268518518515</v>
      </c>
      <c r="D45" s="103">
        <v>116</v>
      </c>
      <c r="E45" s="103">
        <v>6.78</v>
      </c>
      <c r="F45" s="103">
        <v>114</v>
      </c>
      <c r="G45" s="103">
        <v>116.5</v>
      </c>
      <c r="H45" s="103">
        <v>23</v>
      </c>
      <c r="I45" s="103">
        <v>112</v>
      </c>
      <c r="J45" s="103">
        <v>116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99</v>
      </c>
      <c r="E46" s="104">
        <v>6.2100000000000002E-2</v>
      </c>
      <c r="F46" s="105">
        <v>2</v>
      </c>
      <c r="G46" s="105">
        <v>2</v>
      </c>
      <c r="H46" s="103">
        <v>57</v>
      </c>
      <c r="I46" s="103">
        <v>109.22</v>
      </c>
      <c r="J46" s="103">
        <v>110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0.51424768518518515</v>
      </c>
      <c r="D47" s="103">
        <v>40.85</v>
      </c>
      <c r="E47" s="103">
        <v>-0.2</v>
      </c>
      <c r="F47" s="103">
        <v>40.9</v>
      </c>
      <c r="G47" s="103">
        <v>41.35</v>
      </c>
      <c r="H47" s="103">
        <v>3</v>
      </c>
      <c r="I47" s="103">
        <v>40.799999999999997</v>
      </c>
      <c r="J47" s="103">
        <v>40.9</v>
      </c>
      <c r="K47" s="103">
        <v>45.15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3</v>
      </c>
      <c r="E48" s="104">
        <v>-4.8999999999999998E-3</v>
      </c>
      <c r="F48" s="103">
        <v>10</v>
      </c>
      <c r="G48" s="103">
        <v>1</v>
      </c>
      <c r="H48" s="103" t="s">
        <v>14</v>
      </c>
      <c r="I48" s="103">
        <v>41.05</v>
      </c>
      <c r="J48" s="103">
        <v>40.799999999999997</v>
      </c>
      <c r="K48" s="103">
        <v>36.950000000000003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192</v>
      </c>
      <c r="E49" s="103" t="s">
        <v>14</v>
      </c>
      <c r="F49" s="103">
        <v>192</v>
      </c>
      <c r="G49" s="103">
        <v>192.5</v>
      </c>
      <c r="H49" s="103">
        <v>24</v>
      </c>
      <c r="I49" s="103">
        <v>192.5</v>
      </c>
      <c r="J49" s="103">
        <v>193</v>
      </c>
      <c r="K49" s="103">
        <v>211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37</v>
      </c>
      <c r="E50" s="104" t="s">
        <v>14</v>
      </c>
      <c r="F50" s="103">
        <v>5</v>
      </c>
      <c r="G50" s="103">
        <v>6</v>
      </c>
      <c r="H50" s="103">
        <v>13</v>
      </c>
      <c r="I50" s="103">
        <v>192</v>
      </c>
      <c r="J50" s="103">
        <v>192</v>
      </c>
      <c r="K50" s="103">
        <v>173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0.5625</v>
      </c>
      <c r="D51" s="103">
        <v>101.5</v>
      </c>
      <c r="E51" s="103">
        <v>0.5</v>
      </c>
      <c r="F51" s="103">
        <v>101.5</v>
      </c>
      <c r="G51" s="103">
        <v>102</v>
      </c>
      <c r="H51" s="105">
        <v>337</v>
      </c>
      <c r="I51" s="103">
        <v>102</v>
      </c>
      <c r="J51" s="103">
        <v>103</v>
      </c>
      <c r="K51" s="103">
        <v>111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614</v>
      </c>
      <c r="E52" s="104">
        <v>5.0000000000000001E-3</v>
      </c>
      <c r="F52" s="103">
        <v>1</v>
      </c>
      <c r="G52" s="103">
        <v>21</v>
      </c>
      <c r="H52" s="105">
        <v>256</v>
      </c>
      <c r="I52" s="103">
        <v>101</v>
      </c>
      <c r="J52" s="103">
        <v>99</v>
      </c>
      <c r="K52" s="103">
        <v>90.9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0.53733796296296299</v>
      </c>
      <c r="D53" s="103">
        <v>12.8</v>
      </c>
      <c r="E53" s="103">
        <v>-0.45</v>
      </c>
      <c r="F53" s="103">
        <v>12.8</v>
      </c>
      <c r="G53" s="103">
        <v>13.15</v>
      </c>
      <c r="H53" s="103">
        <v>30</v>
      </c>
      <c r="I53" s="103">
        <v>13.2</v>
      </c>
      <c r="J53" s="103">
        <v>13.2</v>
      </c>
      <c r="K53" s="103">
        <v>14.55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32</v>
      </c>
      <c r="E54" s="104">
        <v>-3.4000000000000002E-2</v>
      </c>
      <c r="F54" s="103">
        <v>2</v>
      </c>
      <c r="G54" s="103">
        <v>1</v>
      </c>
      <c r="H54" s="103">
        <v>2</v>
      </c>
      <c r="I54" s="103">
        <v>13.25</v>
      </c>
      <c r="J54" s="103">
        <v>12.75</v>
      </c>
      <c r="K54" s="103">
        <v>11.95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0.60416666666666663</v>
      </c>
      <c r="D55" s="103">
        <v>53.7</v>
      </c>
      <c r="E55" s="103">
        <v>0.2</v>
      </c>
      <c r="F55" s="103">
        <v>53.6</v>
      </c>
      <c r="G55" s="103">
        <v>53.7</v>
      </c>
      <c r="H55" s="105">
        <v>74</v>
      </c>
      <c r="I55" s="103">
        <v>53.9</v>
      </c>
      <c r="J55" s="103">
        <v>53.9</v>
      </c>
      <c r="K55" s="103">
        <v>58.8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164</v>
      </c>
      <c r="E56" s="104">
        <v>3.7000000000000002E-3</v>
      </c>
      <c r="F56" s="103">
        <v>1</v>
      </c>
      <c r="G56" s="103">
        <v>1</v>
      </c>
      <c r="H56" s="105">
        <v>73</v>
      </c>
      <c r="I56" s="103">
        <v>53.5</v>
      </c>
      <c r="J56" s="103">
        <v>53.1</v>
      </c>
      <c r="K56" s="103">
        <v>48.15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0.60416666666666663</v>
      </c>
      <c r="D57" s="103">
        <v>64</v>
      </c>
      <c r="E57" s="103">
        <v>0.2</v>
      </c>
      <c r="F57" s="103">
        <v>63.9</v>
      </c>
      <c r="G57" s="103">
        <v>64</v>
      </c>
      <c r="H57" s="105">
        <v>139</v>
      </c>
      <c r="I57" s="103">
        <v>64.400000000000006</v>
      </c>
      <c r="J57" s="103">
        <v>64.400000000000006</v>
      </c>
      <c r="K57" s="103">
        <v>70.099999999999994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253</v>
      </c>
      <c r="E58" s="104">
        <v>3.0999999999999999E-3</v>
      </c>
      <c r="F58" s="103">
        <v>6</v>
      </c>
      <c r="G58" s="103">
        <v>15</v>
      </c>
      <c r="H58" s="105">
        <v>110</v>
      </c>
      <c r="I58" s="103">
        <v>63.8</v>
      </c>
      <c r="J58" s="103">
        <v>63.5</v>
      </c>
      <c r="K58" s="103">
        <v>57.5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0.55890046296296292</v>
      </c>
      <c r="D59" s="103">
        <v>52.6</v>
      </c>
      <c r="E59" s="103">
        <v>-0.1</v>
      </c>
      <c r="F59" s="103">
        <v>51.8</v>
      </c>
      <c r="G59" s="103">
        <v>52.2</v>
      </c>
      <c r="H59" s="103">
        <v>3</v>
      </c>
      <c r="I59" s="103">
        <v>51</v>
      </c>
      <c r="J59" s="103">
        <v>52.6</v>
      </c>
      <c r="K59" s="103">
        <v>57.9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8</v>
      </c>
      <c r="E60" s="104">
        <v>-1.9E-3</v>
      </c>
      <c r="F60" s="103">
        <v>1</v>
      </c>
      <c r="G60" s="103">
        <v>1</v>
      </c>
      <c r="H60" s="103">
        <v>5</v>
      </c>
      <c r="I60" s="103">
        <v>52.7</v>
      </c>
      <c r="J60" s="103">
        <v>51</v>
      </c>
      <c r="K60" s="103">
        <v>47.45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0.44229166666666669</v>
      </c>
      <c r="D61" s="103">
        <v>35.5</v>
      </c>
      <c r="E61" s="103">
        <v>-0.19</v>
      </c>
      <c r="F61" s="103">
        <v>35.049999999999997</v>
      </c>
      <c r="G61" s="103">
        <v>35.9</v>
      </c>
      <c r="H61" s="103">
        <v>3</v>
      </c>
      <c r="I61" s="103">
        <v>35.5</v>
      </c>
      <c r="J61" s="103">
        <v>35.65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5</v>
      </c>
      <c r="E62" s="104">
        <v>-5.3E-3</v>
      </c>
      <c r="F62" s="105">
        <v>3000</v>
      </c>
      <c r="G62" s="105">
        <v>3000</v>
      </c>
      <c r="H62" s="103">
        <v>2</v>
      </c>
      <c r="I62" s="103">
        <v>35.69</v>
      </c>
      <c r="J62" s="103">
        <v>35.1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0.60416666666666663</v>
      </c>
      <c r="D63" s="103">
        <v>262</v>
      </c>
      <c r="E63" s="103" t="s">
        <v>14</v>
      </c>
      <c r="F63" s="103">
        <v>262</v>
      </c>
      <c r="G63" s="103">
        <v>262.5</v>
      </c>
      <c r="H63" s="105">
        <v>1035</v>
      </c>
      <c r="I63" s="103">
        <v>263.5</v>
      </c>
      <c r="J63" s="103">
        <v>263.5</v>
      </c>
      <c r="K63" s="103">
        <v>288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1372</v>
      </c>
      <c r="E64" s="104" t="s">
        <v>14</v>
      </c>
      <c r="F64" s="103">
        <v>7</v>
      </c>
      <c r="G64" s="103">
        <v>42</v>
      </c>
      <c r="H64" s="105">
        <v>294</v>
      </c>
      <c r="I64" s="103">
        <v>262</v>
      </c>
      <c r="J64" s="103">
        <v>261</v>
      </c>
      <c r="K64" s="103">
        <v>236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25.3</v>
      </c>
      <c r="E65" s="103">
        <v>-0.2</v>
      </c>
      <c r="F65" s="103">
        <v>25.3</v>
      </c>
      <c r="G65" s="103">
        <v>25.35</v>
      </c>
      <c r="H65" s="105">
        <v>2192</v>
      </c>
      <c r="I65" s="103">
        <v>25.55</v>
      </c>
      <c r="J65" s="103">
        <v>25.7</v>
      </c>
      <c r="K65" s="103">
        <v>28.05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3204</v>
      </c>
      <c r="E66" s="104">
        <v>-7.7999999999999996E-3</v>
      </c>
      <c r="F66" s="103">
        <v>6</v>
      </c>
      <c r="G66" s="103">
        <v>46</v>
      </c>
      <c r="H66" s="105">
        <v>982</v>
      </c>
      <c r="I66" s="103">
        <v>25.5</v>
      </c>
      <c r="J66" s="103">
        <v>25.15</v>
      </c>
      <c r="K66" s="103">
        <v>22.95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0.60416666666666663</v>
      </c>
      <c r="D67" s="103">
        <v>524</v>
      </c>
      <c r="E67" s="103">
        <v>-6</v>
      </c>
      <c r="F67" s="103">
        <v>524</v>
      </c>
      <c r="G67" s="103">
        <v>525</v>
      </c>
      <c r="H67" s="103">
        <v>239</v>
      </c>
      <c r="I67" s="103">
        <v>527</v>
      </c>
      <c r="J67" s="103">
        <v>529</v>
      </c>
      <c r="K67" s="103">
        <v>583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504</v>
      </c>
      <c r="E68" s="104">
        <v>-1.1299999999999999E-2</v>
      </c>
      <c r="F68" s="103">
        <v>6</v>
      </c>
      <c r="G68" s="103">
        <v>2</v>
      </c>
      <c r="H68" s="103">
        <v>256</v>
      </c>
      <c r="I68" s="103">
        <v>530</v>
      </c>
      <c r="J68" s="103">
        <v>519</v>
      </c>
      <c r="K68" s="103">
        <v>477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9.99</v>
      </c>
      <c r="E69" s="103">
        <v>-0.26</v>
      </c>
      <c r="F69" s="103">
        <v>9.99</v>
      </c>
      <c r="G69" s="103">
        <v>10</v>
      </c>
      <c r="H69" s="105">
        <v>300</v>
      </c>
      <c r="I69" s="103">
        <v>10.3</v>
      </c>
      <c r="J69" s="103">
        <v>10.3</v>
      </c>
      <c r="K69" s="103">
        <v>11.25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409</v>
      </c>
      <c r="E70" s="104">
        <v>-2.5399999999999999E-2</v>
      </c>
      <c r="F70" s="103">
        <v>6</v>
      </c>
      <c r="G70" s="103">
        <v>3</v>
      </c>
      <c r="H70" s="105">
        <v>106</v>
      </c>
      <c r="I70" s="103">
        <v>10.25</v>
      </c>
      <c r="J70" s="103">
        <v>9.98</v>
      </c>
      <c r="K70" s="103">
        <v>9.23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0.5625</v>
      </c>
      <c r="D71" s="103">
        <v>206</v>
      </c>
      <c r="E71" s="103">
        <v>-0.5</v>
      </c>
      <c r="F71" s="103">
        <v>206</v>
      </c>
      <c r="G71" s="103">
        <v>206.5</v>
      </c>
      <c r="H71" s="103">
        <v>135</v>
      </c>
      <c r="I71" s="103">
        <v>208</v>
      </c>
      <c r="J71" s="103">
        <v>208</v>
      </c>
      <c r="K71" s="103">
        <v>227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216</v>
      </c>
      <c r="E72" s="104">
        <v>-2.3999999999999998E-3</v>
      </c>
      <c r="F72" s="103">
        <v>16</v>
      </c>
      <c r="G72" s="103">
        <v>4</v>
      </c>
      <c r="H72" s="103">
        <v>78</v>
      </c>
      <c r="I72" s="103">
        <v>206.5</v>
      </c>
      <c r="J72" s="103">
        <v>205.5</v>
      </c>
      <c r="K72" s="103">
        <v>186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53.8</v>
      </c>
      <c r="E73" s="103">
        <v>-0.9</v>
      </c>
      <c r="F73" s="103">
        <v>53.7</v>
      </c>
      <c r="G73" s="103">
        <v>53.8</v>
      </c>
      <c r="H73" s="103">
        <v>64</v>
      </c>
      <c r="I73" s="103">
        <v>55.1</v>
      </c>
      <c r="J73" s="103">
        <v>55.2</v>
      </c>
      <c r="K73" s="103">
        <v>60.1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93</v>
      </c>
      <c r="E74" s="104">
        <v>-1.6500000000000001E-2</v>
      </c>
      <c r="F74" s="103">
        <v>7</v>
      </c>
      <c r="G74" s="103">
        <v>1</v>
      </c>
      <c r="H74" s="103">
        <v>29</v>
      </c>
      <c r="I74" s="103">
        <v>54.7</v>
      </c>
      <c r="J74" s="103">
        <v>53.8</v>
      </c>
      <c r="K74" s="103">
        <v>49.25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103</v>
      </c>
      <c r="E75" s="103">
        <v>-2</v>
      </c>
      <c r="F75" s="103">
        <v>103</v>
      </c>
      <c r="G75" s="103">
        <v>103.5</v>
      </c>
      <c r="H75" s="103">
        <v>100</v>
      </c>
      <c r="I75" s="103">
        <v>104</v>
      </c>
      <c r="J75" s="103">
        <v>104.5</v>
      </c>
      <c r="K75" s="103">
        <v>115.5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159</v>
      </c>
      <c r="E76" s="104">
        <v>-1.9E-2</v>
      </c>
      <c r="F76" s="103">
        <v>66</v>
      </c>
      <c r="G76" s="103">
        <v>5</v>
      </c>
      <c r="H76" s="105">
        <v>56</v>
      </c>
      <c r="I76" s="103">
        <v>105</v>
      </c>
      <c r="J76" s="103">
        <v>103</v>
      </c>
      <c r="K76" s="103">
        <v>94.5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0.5625</v>
      </c>
      <c r="D77" s="103">
        <v>240</v>
      </c>
      <c r="E77" s="103">
        <v>-2</v>
      </c>
      <c r="F77" s="103">
        <v>240</v>
      </c>
      <c r="G77" s="103">
        <v>240.5</v>
      </c>
      <c r="H77" s="105">
        <v>207</v>
      </c>
      <c r="I77" s="103">
        <v>243</v>
      </c>
      <c r="J77" s="103">
        <v>243</v>
      </c>
      <c r="K77" s="103">
        <v>266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300</v>
      </c>
      <c r="E78" s="104">
        <v>-8.3000000000000001E-3</v>
      </c>
      <c r="F78" s="103">
        <v>6</v>
      </c>
      <c r="G78" s="103">
        <v>9</v>
      </c>
      <c r="H78" s="105">
        <v>90</v>
      </c>
      <c r="I78" s="103">
        <v>242</v>
      </c>
      <c r="J78" s="103">
        <v>240</v>
      </c>
      <c r="K78" s="103">
        <v>218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0.5625</v>
      </c>
      <c r="D79" s="103">
        <v>64.099999999999994</v>
      </c>
      <c r="E79" s="103">
        <v>0.3</v>
      </c>
      <c r="F79" s="103">
        <v>64.099999999999994</v>
      </c>
      <c r="G79" s="103">
        <v>64.599999999999994</v>
      </c>
      <c r="H79" s="103">
        <v>4</v>
      </c>
      <c r="I79" s="103">
        <v>64.099999999999994</v>
      </c>
      <c r="J79" s="103">
        <v>64.599999999999994</v>
      </c>
      <c r="K79" s="103">
        <v>70.099999999999994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7</v>
      </c>
      <c r="E80" s="104">
        <v>4.7000000000000002E-3</v>
      </c>
      <c r="F80" s="103">
        <v>1</v>
      </c>
      <c r="G80" s="103">
        <v>2</v>
      </c>
      <c r="H80" s="103">
        <v>3</v>
      </c>
      <c r="I80" s="103">
        <v>63.8</v>
      </c>
      <c r="J80" s="103">
        <v>64</v>
      </c>
      <c r="K80" s="103">
        <v>57.5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205.5</v>
      </c>
      <c r="E81" s="103">
        <v>-2</v>
      </c>
      <c r="F81" s="103">
        <v>205.5</v>
      </c>
      <c r="G81" s="103">
        <v>206.5</v>
      </c>
      <c r="H81" s="103">
        <v>8</v>
      </c>
      <c r="I81" s="103">
        <v>208</v>
      </c>
      <c r="J81" s="103">
        <v>208</v>
      </c>
      <c r="K81" s="103">
        <v>228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11</v>
      </c>
      <c r="E82" s="104">
        <v>-9.5999999999999992E-3</v>
      </c>
      <c r="F82" s="103">
        <v>10</v>
      </c>
      <c r="G82" s="103">
        <v>1</v>
      </c>
      <c r="H82" s="103">
        <v>3</v>
      </c>
      <c r="I82" s="103">
        <v>207.5</v>
      </c>
      <c r="J82" s="103">
        <v>205</v>
      </c>
      <c r="K82" s="103">
        <v>187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0.5625</v>
      </c>
      <c r="D83" s="103">
        <v>68.8</v>
      </c>
      <c r="E83" s="103">
        <v>0.2</v>
      </c>
      <c r="F83" s="103">
        <v>68.7</v>
      </c>
      <c r="G83" s="103">
        <v>68.8</v>
      </c>
      <c r="H83" s="105">
        <v>1940</v>
      </c>
      <c r="I83" s="103">
        <v>68.900000000000006</v>
      </c>
      <c r="J83" s="103">
        <v>69.2</v>
      </c>
      <c r="K83" s="103">
        <v>75.400000000000006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2384</v>
      </c>
      <c r="E84" s="104">
        <v>2.8999999999999998E-3</v>
      </c>
      <c r="F84" s="103">
        <v>63</v>
      </c>
      <c r="G84" s="103">
        <v>2</v>
      </c>
      <c r="H84" s="105">
        <v>433</v>
      </c>
      <c r="I84" s="103">
        <v>68.599999999999994</v>
      </c>
      <c r="J84" s="103">
        <v>68.7</v>
      </c>
      <c r="K84" s="103">
        <v>61.8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48.1</v>
      </c>
      <c r="E85" s="103">
        <v>-1.25</v>
      </c>
      <c r="F85" s="103">
        <v>48.1</v>
      </c>
      <c r="G85" s="103">
        <v>48.15</v>
      </c>
      <c r="H85" s="105">
        <v>952</v>
      </c>
      <c r="I85" s="103">
        <v>49</v>
      </c>
      <c r="J85" s="103">
        <v>49.3</v>
      </c>
      <c r="K85" s="103">
        <v>54.2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1263</v>
      </c>
      <c r="E86" s="104">
        <v>-2.53E-2</v>
      </c>
      <c r="F86" s="103">
        <v>9</v>
      </c>
      <c r="G86" s="103">
        <v>1</v>
      </c>
      <c r="H86" s="105">
        <v>302</v>
      </c>
      <c r="I86" s="103">
        <v>49.35</v>
      </c>
      <c r="J86" s="103">
        <v>48</v>
      </c>
      <c r="K86" s="103">
        <v>44.45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47.4</v>
      </c>
      <c r="E87" s="103">
        <v>-1.1499999999999999</v>
      </c>
      <c r="F87" s="103">
        <v>47.35</v>
      </c>
      <c r="G87" s="103">
        <v>47.4</v>
      </c>
      <c r="H87" s="105">
        <v>1271</v>
      </c>
      <c r="I87" s="103">
        <v>48.3</v>
      </c>
      <c r="J87" s="103">
        <v>49.05</v>
      </c>
      <c r="K87" s="103">
        <v>53.4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2098</v>
      </c>
      <c r="E88" s="104">
        <v>-2.3699999999999999E-2</v>
      </c>
      <c r="F88" s="105">
        <v>2</v>
      </c>
      <c r="G88" s="103">
        <v>2</v>
      </c>
      <c r="H88" s="105">
        <v>769</v>
      </c>
      <c r="I88" s="103">
        <v>48.55</v>
      </c>
      <c r="J88" s="103">
        <v>46.8</v>
      </c>
      <c r="K88" s="103">
        <v>43.7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0.60416666666666663</v>
      </c>
      <c r="D89" s="103">
        <v>387.5</v>
      </c>
      <c r="E89" s="103">
        <v>-3.5</v>
      </c>
      <c r="F89" s="103">
        <v>386.5</v>
      </c>
      <c r="G89" s="103">
        <v>387.5</v>
      </c>
      <c r="H89" s="103">
        <v>177</v>
      </c>
      <c r="I89" s="103">
        <v>390</v>
      </c>
      <c r="J89" s="103">
        <v>391.5</v>
      </c>
      <c r="K89" s="103">
        <v>430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296</v>
      </c>
      <c r="E90" s="104">
        <v>-8.9999999999999993E-3</v>
      </c>
      <c r="F90" s="103">
        <v>3</v>
      </c>
      <c r="G90" s="103">
        <v>9</v>
      </c>
      <c r="H90" s="105">
        <v>115</v>
      </c>
      <c r="I90" s="103">
        <v>391</v>
      </c>
      <c r="J90" s="103">
        <v>386</v>
      </c>
      <c r="K90" s="103">
        <v>352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0.60416666666666663</v>
      </c>
      <c r="D91" s="103">
        <v>776</v>
      </c>
      <c r="E91" s="103">
        <v>-21</v>
      </c>
      <c r="F91" s="103">
        <v>776</v>
      </c>
      <c r="G91" s="103">
        <v>782</v>
      </c>
      <c r="H91" s="103">
        <v>49</v>
      </c>
      <c r="I91" s="103">
        <v>773</v>
      </c>
      <c r="J91" s="103">
        <v>794</v>
      </c>
      <c r="K91" s="103">
        <v>876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73</v>
      </c>
      <c r="E92" s="104">
        <v>-2.63E-2</v>
      </c>
      <c r="F92" s="103">
        <v>4</v>
      </c>
      <c r="G92" s="103">
        <v>1</v>
      </c>
      <c r="H92" s="103">
        <v>23</v>
      </c>
      <c r="I92" s="103">
        <v>797</v>
      </c>
      <c r="J92" s="103">
        <v>771</v>
      </c>
      <c r="K92" s="103">
        <v>718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9.4E-2</v>
      </c>
      <c r="G94" s="86">
        <f>F94-M94</f>
        <v>0</v>
      </c>
      <c r="H94" s="87">
        <f>F94/M94-1</f>
        <v>0</v>
      </c>
      <c r="I94" s="98">
        <v>366</v>
      </c>
      <c r="J94" s="100">
        <v>0.09</v>
      </c>
      <c r="K94" s="100">
        <v>9.5000000000000001E-2</v>
      </c>
      <c r="L94" s="100">
        <v>8.6999999999999994E-2</v>
      </c>
      <c r="M94" s="88">
        <v>9.4E-2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0.31</v>
      </c>
      <c r="G95" s="86">
        <f>F95-M95</f>
        <v>0</v>
      </c>
      <c r="H95" s="87">
        <f>F95/M95-1</f>
        <v>0</v>
      </c>
      <c r="I95" s="98">
        <v>374</v>
      </c>
      <c r="J95" s="100">
        <v>0.3</v>
      </c>
      <c r="K95" s="100">
        <v>0.31</v>
      </c>
      <c r="L95" s="100">
        <v>0.29499999999999998</v>
      </c>
      <c r="M95" s="88">
        <v>0.31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7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landscape" r:id="rId2"/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45726.744890393522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22459.15</v>
      </c>
      <c r="E6" s="94">
        <v>22576.07</v>
      </c>
      <c r="F6" s="33">
        <f>(D6-E6)/E6</f>
        <v>-5.1789350405096303E-3</v>
      </c>
      <c r="G6" s="34"/>
      <c r="H6" s="91">
        <f>ROUND(354962067264/100000000,2)</f>
        <v>3549.62</v>
      </c>
      <c r="I6" s="91">
        <v>3672.92</v>
      </c>
      <c r="J6" s="35">
        <f>+H6-I6</f>
        <v>-123.30000000000018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23783.49</v>
      </c>
      <c r="E8" s="90">
        <v>24231.3</v>
      </c>
      <c r="F8" s="33">
        <f>(D8-E8)/E8</f>
        <v>-1.8480642804967033E-2</v>
      </c>
      <c r="G8" s="34"/>
      <c r="H8" s="91">
        <v>3018.15</v>
      </c>
      <c r="I8" s="91">
        <v>3831.66</v>
      </c>
      <c r="J8" s="35">
        <f>+H8-I8</f>
        <v>-813.50999999999976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今日收盤3/10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51.9</v>
      </c>
      <c r="E13" s="60">
        <f>I60</f>
        <v>52.6</v>
      </c>
      <c r="F13" s="61">
        <f>D13-E13</f>
        <v>-0.70000000000000284</v>
      </c>
      <c r="G13" s="62">
        <f>F13/E13</f>
        <v>-1.3307984790874578E-2</v>
      </c>
      <c r="H13" s="63">
        <f>I59</f>
        <v>52</v>
      </c>
      <c r="I13" s="60">
        <f>J60</f>
        <v>51.5</v>
      </c>
      <c r="J13" s="60">
        <f>J59</f>
        <v>52</v>
      </c>
      <c r="K13" s="64">
        <f>D60</f>
        <v>4</v>
      </c>
      <c r="L13" s="64">
        <f>+O13*D13</f>
        <v>2459.5228350000002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261.5</v>
      </c>
      <c r="E14" s="60">
        <f>I64</f>
        <v>262</v>
      </c>
      <c r="F14" s="61">
        <f t="shared" ref="F14:F30" si="0">D14-E14</f>
        <v>-0.5</v>
      </c>
      <c r="G14" s="62">
        <f>F14/E14</f>
        <v>-1.9083969465648854E-3</v>
      </c>
      <c r="H14" s="63">
        <f>I63</f>
        <v>262</v>
      </c>
      <c r="I14" s="60">
        <f>J64</f>
        <v>261.5</v>
      </c>
      <c r="J14" s="60">
        <f>J63</f>
        <v>263</v>
      </c>
      <c r="K14" s="73">
        <f>D64</f>
        <v>1055</v>
      </c>
      <c r="L14" s="64">
        <f>+O14*D14</f>
        <v>271861.15299999999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192</v>
      </c>
      <c r="E15" s="71">
        <f>$I$50</f>
        <v>192</v>
      </c>
      <c r="F15" s="61">
        <f>D15-E15</f>
        <v>0</v>
      </c>
      <c r="G15" s="62">
        <f>F15/E15</f>
        <v>0</v>
      </c>
      <c r="H15" s="72">
        <f>$I$49</f>
        <v>192.5</v>
      </c>
      <c r="I15" s="60">
        <f>J50</f>
        <v>192</v>
      </c>
      <c r="J15" s="71">
        <f>$J$49</f>
        <v>192.5</v>
      </c>
      <c r="K15" s="73">
        <f>$D$50</f>
        <v>37</v>
      </c>
      <c r="L15" s="64">
        <f>D15*O15</f>
        <v>42858.239999999998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40.549999999999997</v>
      </c>
      <c r="E16" s="71">
        <f>I48</f>
        <v>40.85</v>
      </c>
      <c r="F16" s="61">
        <f>D16-E16</f>
        <v>-0.30000000000000426</v>
      </c>
      <c r="G16" s="62">
        <f>F16/E16</f>
        <v>-7.3439412484701165E-3</v>
      </c>
      <c r="H16" s="72">
        <f>I47</f>
        <v>41</v>
      </c>
      <c r="I16" s="60">
        <f>J48</f>
        <v>40.35</v>
      </c>
      <c r="J16" s="71">
        <f>J47</f>
        <v>41</v>
      </c>
      <c r="K16" s="73">
        <f>D48</f>
        <v>3</v>
      </c>
      <c r="L16" s="64">
        <f>D16*O16</f>
        <v>2737.125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25.3</v>
      </c>
      <c r="E17" s="60">
        <f>I66</f>
        <v>25.3</v>
      </c>
      <c r="F17" s="61">
        <f t="shared" si="0"/>
        <v>0</v>
      </c>
      <c r="G17" s="62">
        <f t="shared" ref="G17:G22" si="1">F17/E17</f>
        <v>0</v>
      </c>
      <c r="H17" s="63">
        <f>I65</f>
        <v>25.4</v>
      </c>
      <c r="I17" s="60">
        <f>J66</f>
        <v>25.3</v>
      </c>
      <c r="J17" s="60">
        <f>J65</f>
        <v>25.5</v>
      </c>
      <c r="K17" s="64">
        <f>D66</f>
        <v>1849</v>
      </c>
      <c r="L17" s="64">
        <f>+O17*D17</f>
        <v>35848.607300000003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529</v>
      </c>
      <c r="E18" s="60">
        <f>I68</f>
        <v>524</v>
      </c>
      <c r="F18" s="61">
        <f t="shared" si="0"/>
        <v>5</v>
      </c>
      <c r="G18" s="62">
        <f t="shared" si="1"/>
        <v>9.5419847328244278E-3</v>
      </c>
      <c r="H18" s="63">
        <f>I67</f>
        <v>522</v>
      </c>
      <c r="I18" s="60">
        <f>J68</f>
        <v>522</v>
      </c>
      <c r="J18" s="60">
        <f>J67</f>
        <v>532</v>
      </c>
      <c r="K18" s="64">
        <f>D68</f>
        <v>324</v>
      </c>
      <c r="L18" s="64">
        <f>+O18*D18</f>
        <v>55511.144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10.050000000000001</v>
      </c>
      <c r="E19" s="60">
        <f>I70</f>
        <v>9.99</v>
      </c>
      <c r="F19" s="61">
        <f t="shared" si="0"/>
        <v>6.0000000000000497E-2</v>
      </c>
      <c r="G19" s="62">
        <f>F19/E19</f>
        <v>6.0060060060060554E-3</v>
      </c>
      <c r="H19" s="63">
        <f>I69</f>
        <v>10.1</v>
      </c>
      <c r="I19" s="60">
        <f>J70</f>
        <v>9.92</v>
      </c>
      <c r="J19" s="60">
        <f>J69</f>
        <v>10.1</v>
      </c>
      <c r="K19" s="64">
        <f>D70</f>
        <v>375</v>
      </c>
      <c r="L19" s="64">
        <f>+O19*D19</f>
        <v>1965.0865500000002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35.9</v>
      </c>
      <c r="E20" s="60">
        <f>I62</f>
        <v>35.5</v>
      </c>
      <c r="F20" s="61">
        <f>D20-E20</f>
        <v>0.39999999999999858</v>
      </c>
      <c r="G20" s="62">
        <f>F20/E20</f>
        <v>1.1267605633802778E-2</v>
      </c>
      <c r="H20" s="63">
        <f>I61</f>
        <v>35.9</v>
      </c>
      <c r="I20" s="60">
        <f>J62</f>
        <v>35.9</v>
      </c>
      <c r="J20" s="60">
        <f>J61</f>
        <v>35.9</v>
      </c>
      <c r="K20" s="64">
        <f>D62</f>
        <v>2</v>
      </c>
      <c r="L20" s="64">
        <f>O20*D20</f>
        <v>2154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206</v>
      </c>
      <c r="E21" s="60">
        <f>I72</f>
        <v>206</v>
      </c>
      <c r="F21" s="61">
        <f t="shared" si="0"/>
        <v>0</v>
      </c>
      <c r="G21" s="62">
        <f t="shared" si="1"/>
        <v>0</v>
      </c>
      <c r="H21" s="63">
        <f>I71</f>
        <v>207.5</v>
      </c>
      <c r="I21" s="60">
        <f>J72</f>
        <v>205</v>
      </c>
      <c r="J21" s="60">
        <f>J71</f>
        <v>207.5</v>
      </c>
      <c r="K21" s="64">
        <f>D72</f>
        <v>108</v>
      </c>
      <c r="L21" s="64">
        <f t="shared" ref="L21:L28" si="2">+O21*D21</f>
        <v>26245.018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52.7</v>
      </c>
      <c r="E22" s="60">
        <f>I74</f>
        <v>53.8</v>
      </c>
      <c r="F22" s="61">
        <f t="shared" si="0"/>
        <v>-1.0999999999999943</v>
      </c>
      <c r="G22" s="62">
        <f t="shared" si="1"/>
        <v>-2.0446096654274989E-2</v>
      </c>
      <c r="H22" s="63">
        <f>I73</f>
        <v>53.5</v>
      </c>
      <c r="I22" s="60">
        <f>J74</f>
        <v>52.6</v>
      </c>
      <c r="J22" s="60">
        <f>J73</f>
        <v>53.5</v>
      </c>
      <c r="K22" s="64">
        <f>D74</f>
        <v>123</v>
      </c>
      <c r="L22" s="64">
        <f t="shared" si="2"/>
        <v>19336.807476100003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53.1</v>
      </c>
      <c r="E23" s="60">
        <f>I56</f>
        <v>53.7</v>
      </c>
      <c r="F23" s="61">
        <f>D23-E23</f>
        <v>-0.60000000000000142</v>
      </c>
      <c r="G23" s="62">
        <f>F23/E23</f>
        <v>-1.1173184357541926E-2</v>
      </c>
      <c r="H23" s="63">
        <f>I55</f>
        <v>52</v>
      </c>
      <c r="I23" s="60">
        <f>J56</f>
        <v>51.5</v>
      </c>
      <c r="J23" s="60">
        <f>J55</f>
        <v>53.5</v>
      </c>
      <c r="K23" s="64">
        <f>D56</f>
        <v>708</v>
      </c>
      <c r="L23" s="64">
        <f t="shared" si="2"/>
        <v>4860.0306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63.9</v>
      </c>
      <c r="E24" s="60">
        <f>I58</f>
        <v>64</v>
      </c>
      <c r="F24" s="68">
        <f t="shared" si="0"/>
        <v>-0.10000000000000142</v>
      </c>
      <c r="G24" s="69">
        <f>F24/E24</f>
        <v>-1.5625000000000222E-3</v>
      </c>
      <c r="H24" s="63">
        <f>I57</f>
        <v>64.400000000000006</v>
      </c>
      <c r="I24" s="60">
        <f>J58</f>
        <v>63.1</v>
      </c>
      <c r="J24" s="60">
        <f>J57</f>
        <v>64.400000000000006</v>
      </c>
      <c r="K24" s="64">
        <f>D58</f>
        <v>171</v>
      </c>
      <c r="L24" s="64">
        <f t="shared" si="2"/>
        <v>6759.2780999999995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103.5</v>
      </c>
      <c r="E25" s="71">
        <f>I76</f>
        <v>103</v>
      </c>
      <c r="F25" s="68">
        <f t="shared" si="0"/>
        <v>0.5</v>
      </c>
      <c r="G25" s="69">
        <f t="shared" ref="G25:G31" si="3">F25/E25</f>
        <v>4.8543689320388345E-3</v>
      </c>
      <c r="H25" s="72">
        <f>I75</f>
        <v>103.5</v>
      </c>
      <c r="I25" s="60">
        <f>J76</f>
        <v>103</v>
      </c>
      <c r="J25" s="71">
        <f>J75</f>
        <v>104.5</v>
      </c>
      <c r="K25" s="73">
        <f>D76</f>
        <v>250</v>
      </c>
      <c r="L25" s="64">
        <f t="shared" si="2"/>
        <v>18630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240.5</v>
      </c>
      <c r="E26" s="71">
        <f>I78</f>
        <v>240</v>
      </c>
      <c r="F26" s="68">
        <f t="shared" si="0"/>
        <v>0.5</v>
      </c>
      <c r="G26" s="69">
        <f t="shared" si="3"/>
        <v>2.0833333333333333E-3</v>
      </c>
      <c r="H26" s="72">
        <f>I77</f>
        <v>240.5</v>
      </c>
      <c r="I26" s="71">
        <f>J78</f>
        <v>239</v>
      </c>
      <c r="J26" s="71">
        <f>J77</f>
        <v>241</v>
      </c>
      <c r="K26" s="73">
        <f>D78</f>
        <v>352</v>
      </c>
      <c r="L26" s="64">
        <f t="shared" si="2"/>
        <v>20310.465499999998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64.400000000000006</v>
      </c>
      <c r="E27" s="71">
        <f>I80</f>
        <v>64.099999999999994</v>
      </c>
      <c r="F27" s="68">
        <f>D27-E27</f>
        <v>0.30000000000001137</v>
      </c>
      <c r="G27" s="69">
        <f>F27/E27</f>
        <v>4.6801872074884775E-3</v>
      </c>
      <c r="H27" s="72">
        <f>I79</f>
        <v>64.3</v>
      </c>
      <c r="I27" s="71">
        <f>J80</f>
        <v>64.3</v>
      </c>
      <c r="J27" s="71">
        <f>J79</f>
        <v>64.599999999999994</v>
      </c>
      <c r="K27" s="73">
        <f>D80</f>
        <v>5</v>
      </c>
      <c r="L27" s="64">
        <f t="shared" si="2"/>
        <v>2085.8838000000001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204</v>
      </c>
      <c r="E28" s="71">
        <f>I82</f>
        <v>205.5</v>
      </c>
      <c r="F28" s="68">
        <f t="shared" si="0"/>
        <v>-1.5</v>
      </c>
      <c r="G28" s="69">
        <f t="shared" si="3"/>
        <v>-7.2992700729927005E-3</v>
      </c>
      <c r="H28" s="72">
        <f>I81</f>
        <v>205.5</v>
      </c>
      <c r="I28" s="71">
        <f>J82</f>
        <v>204</v>
      </c>
      <c r="J28" s="71">
        <f>J81</f>
        <v>205.5</v>
      </c>
      <c r="K28" s="73">
        <f>D82</f>
        <v>33</v>
      </c>
      <c r="L28" s="64">
        <f t="shared" si="2"/>
        <v>8058.2039999999997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117.5</v>
      </c>
      <c r="E29" s="71">
        <f>I46</f>
        <v>114.15</v>
      </c>
      <c r="F29" s="68">
        <f>D29-E29</f>
        <v>3.3499999999999943</v>
      </c>
      <c r="G29" s="69">
        <f>F29/E29</f>
        <v>2.934734997809894E-2</v>
      </c>
      <c r="H29" s="72">
        <f>I45</f>
        <v>116.5</v>
      </c>
      <c r="I29" s="71">
        <f>J46</f>
        <v>114.5</v>
      </c>
      <c r="J29" s="71">
        <f>J45</f>
        <v>119</v>
      </c>
      <c r="K29" s="73">
        <f>D46</f>
        <v>68</v>
      </c>
      <c r="L29" s="64">
        <f>+D29*O29</f>
        <v>2407.1192175000001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48.5</v>
      </c>
      <c r="E30" s="71">
        <f>I88</f>
        <v>47.4</v>
      </c>
      <c r="F30" s="68">
        <f t="shared" si="0"/>
        <v>1.1000000000000014</v>
      </c>
      <c r="G30" s="69">
        <f t="shared" si="3"/>
        <v>2.3206751054852353E-2</v>
      </c>
      <c r="H30" s="72">
        <f>I87</f>
        <v>48</v>
      </c>
      <c r="I30" s="71">
        <f>J88</f>
        <v>46.95</v>
      </c>
      <c r="J30" s="71">
        <f>J87</f>
        <v>48.65</v>
      </c>
      <c r="K30" s="73">
        <f>D88</f>
        <v>1602</v>
      </c>
      <c r="L30" s="64">
        <f>D30*O30</f>
        <v>9973.8794999999991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47.65</v>
      </c>
      <c r="E31" s="71">
        <f>I86</f>
        <v>48.1</v>
      </c>
      <c r="F31" s="68">
        <f>D31-E31</f>
        <v>-0.45000000000000284</v>
      </c>
      <c r="G31" s="69">
        <f t="shared" si="3"/>
        <v>-9.355509355509415E-3</v>
      </c>
      <c r="H31" s="72">
        <f>I85</f>
        <v>47.9</v>
      </c>
      <c r="I31" s="71">
        <f>J86</f>
        <v>47.45</v>
      </c>
      <c r="J31" s="71">
        <f>J85</f>
        <v>48.2</v>
      </c>
      <c r="K31" s="73">
        <f>D86</f>
        <v>1052</v>
      </c>
      <c r="L31" s="64">
        <f>+O31*D31</f>
        <v>30127.33195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387</v>
      </c>
      <c r="E32" s="71">
        <f>I90</f>
        <v>387.5</v>
      </c>
      <c r="F32" s="68">
        <f>D32-E32</f>
        <v>-0.5</v>
      </c>
      <c r="G32" s="69">
        <f>F32/E32</f>
        <v>-1.2903225806451613E-3</v>
      </c>
      <c r="H32" s="72">
        <f>I89</f>
        <v>389.5</v>
      </c>
      <c r="I32" s="71">
        <f>J90</f>
        <v>383.5</v>
      </c>
      <c r="J32" s="71">
        <f>J89</f>
        <v>391</v>
      </c>
      <c r="K32" s="73">
        <f>D90</f>
        <v>392</v>
      </c>
      <c r="L32" s="64">
        <f>+O32*D32</f>
        <v>97662.159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13.2</v>
      </c>
      <c r="E33" s="71">
        <f>I54</f>
        <v>12.8</v>
      </c>
      <c r="F33" s="68">
        <f>D33-E33</f>
        <v>0.39999999999999858</v>
      </c>
      <c r="G33" s="69">
        <f>F33/E33</f>
        <v>3.1249999999999889E-2</v>
      </c>
      <c r="H33" s="72">
        <f>I53</f>
        <v>13.1</v>
      </c>
      <c r="I33" s="71">
        <f>J54</f>
        <v>12.85</v>
      </c>
      <c r="J33" s="71">
        <f>J53</f>
        <v>13.25</v>
      </c>
      <c r="K33" s="73">
        <f>D54</f>
        <v>16</v>
      </c>
      <c r="L33" s="64">
        <f>+O33*D33</f>
        <v>847.05720000000008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100.5</v>
      </c>
      <c r="E34" s="71">
        <f>$I$52</f>
        <v>101.5</v>
      </c>
      <c r="F34" s="68">
        <f>D34-E34</f>
        <v>-1</v>
      </c>
      <c r="G34" s="69">
        <f>F34/E34</f>
        <v>-9.852216748768473E-3</v>
      </c>
      <c r="H34" s="72">
        <f>$I$51</f>
        <v>102.5</v>
      </c>
      <c r="I34" s="71">
        <f>J52</f>
        <v>99.9</v>
      </c>
      <c r="J34" s="71">
        <f>$J$51</f>
        <v>106.5</v>
      </c>
      <c r="K34" s="73">
        <f>$D$52</f>
        <v>1309</v>
      </c>
      <c r="L34" s="64">
        <f>+O34*D34</f>
        <v>12118.089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772</v>
      </c>
      <c r="E35" s="71">
        <f>I92</f>
        <v>776</v>
      </c>
      <c r="F35" s="68">
        <f>D35-E35</f>
        <v>-4</v>
      </c>
      <c r="G35" s="69">
        <f>F35/E35</f>
        <v>-5.1546391752577319E-3</v>
      </c>
      <c r="H35" s="72">
        <f>I91</f>
        <v>763</v>
      </c>
      <c r="I35" s="71">
        <f>J92</f>
        <v>763</v>
      </c>
      <c r="J35" s="71">
        <f>J91</f>
        <v>781</v>
      </c>
      <c r="K35" s="73">
        <f>D92</f>
        <v>56</v>
      </c>
      <c r="L35" s="64">
        <f>+O35*D35</f>
        <v>52496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9.5000000000000001E-2</v>
      </c>
      <c r="E38" s="60">
        <f>M94</f>
        <v>9.4E-2</v>
      </c>
      <c r="F38" s="61">
        <f>D38-E38</f>
        <v>1.0000000000000009E-3</v>
      </c>
      <c r="G38" s="62">
        <f>F38/E38</f>
        <v>1.0638297872340436E-2</v>
      </c>
      <c r="H38" s="63">
        <f>J94</f>
        <v>9.4E-2</v>
      </c>
      <c r="I38" s="60">
        <f>L94</f>
        <v>9.0999999999999998E-2</v>
      </c>
      <c r="J38" s="60">
        <f>K94</f>
        <v>9.8000000000000004E-2</v>
      </c>
      <c r="K38" s="64">
        <f>I94</f>
        <v>1480</v>
      </c>
      <c r="L38" s="64">
        <f>+O38*D38</f>
        <v>250.28054000000003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0.29499999999999998</v>
      </c>
      <c r="E39" s="60">
        <f>M95</f>
        <v>0.31</v>
      </c>
      <c r="F39" s="61">
        <f>D39-E39</f>
        <v>-1.5000000000000013E-2</v>
      </c>
      <c r="G39" s="77">
        <f>F39/E39</f>
        <v>-4.8387096774193589E-2</v>
      </c>
      <c r="H39" s="63">
        <f>J95</f>
        <v>0.32</v>
      </c>
      <c r="I39" s="60">
        <f>L95</f>
        <v>0.29499999999999998</v>
      </c>
      <c r="J39" s="60">
        <f>K95</f>
        <v>0.33</v>
      </c>
      <c r="K39" s="64">
        <f>I95</f>
        <v>139</v>
      </c>
      <c r="L39" s="64">
        <f>+O39*D39</f>
        <v>497.41277499999995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0.60927083333333332</v>
      </c>
      <c r="D45" s="103">
        <v>117.5</v>
      </c>
      <c r="E45" s="103">
        <v>3.35</v>
      </c>
      <c r="F45" s="103">
        <v>117.5</v>
      </c>
      <c r="G45" s="103">
        <v>119</v>
      </c>
      <c r="H45" s="103">
        <v>17</v>
      </c>
      <c r="I45" s="103">
        <v>116.5</v>
      </c>
      <c r="J45" s="103">
        <v>119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68</v>
      </c>
      <c r="E46" s="104">
        <v>2.93E-2</v>
      </c>
      <c r="F46" s="105">
        <v>1</v>
      </c>
      <c r="G46" s="105">
        <v>5000</v>
      </c>
      <c r="H46" s="103">
        <v>36</v>
      </c>
      <c r="I46" s="103">
        <v>114.15</v>
      </c>
      <c r="J46" s="103">
        <v>114.5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0.50578703703703709</v>
      </c>
      <c r="D47" s="103">
        <v>40.549999999999997</v>
      </c>
      <c r="E47" s="103">
        <v>-0.3</v>
      </c>
      <c r="F47" s="103">
        <v>40.5</v>
      </c>
      <c r="G47" s="103">
        <v>40.799999999999997</v>
      </c>
      <c r="H47" s="103">
        <v>3</v>
      </c>
      <c r="I47" s="103">
        <v>41</v>
      </c>
      <c r="J47" s="103">
        <v>41</v>
      </c>
      <c r="K47" s="103">
        <v>44.9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3</v>
      </c>
      <c r="E48" s="104">
        <v>-7.3000000000000001E-3</v>
      </c>
      <c r="F48" s="103">
        <v>21</v>
      </c>
      <c r="G48" s="103">
        <v>2</v>
      </c>
      <c r="H48" s="103" t="s">
        <v>14</v>
      </c>
      <c r="I48" s="103">
        <v>40.85</v>
      </c>
      <c r="J48" s="103">
        <v>40.35</v>
      </c>
      <c r="K48" s="103">
        <v>36.799999999999997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192</v>
      </c>
      <c r="E49" s="103" t="s">
        <v>14</v>
      </c>
      <c r="F49" s="103">
        <v>192</v>
      </c>
      <c r="G49" s="103">
        <v>192.5</v>
      </c>
      <c r="H49" s="103">
        <v>28</v>
      </c>
      <c r="I49" s="103">
        <v>192.5</v>
      </c>
      <c r="J49" s="103">
        <v>192.5</v>
      </c>
      <c r="K49" s="103">
        <v>211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37</v>
      </c>
      <c r="E50" s="104" t="s">
        <v>14</v>
      </c>
      <c r="F50" s="103">
        <v>13</v>
      </c>
      <c r="G50" s="103">
        <v>12</v>
      </c>
      <c r="H50" s="103">
        <v>9</v>
      </c>
      <c r="I50" s="103">
        <v>192</v>
      </c>
      <c r="J50" s="103">
        <v>192</v>
      </c>
      <c r="K50" s="103">
        <v>173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0.60416666666666663</v>
      </c>
      <c r="D51" s="103">
        <v>100.5</v>
      </c>
      <c r="E51" s="103">
        <v>-1</v>
      </c>
      <c r="F51" s="103">
        <v>100.5</v>
      </c>
      <c r="G51" s="103">
        <v>101</v>
      </c>
      <c r="H51" s="105">
        <v>533</v>
      </c>
      <c r="I51" s="103">
        <v>102.5</v>
      </c>
      <c r="J51" s="103">
        <v>106.5</v>
      </c>
      <c r="K51" s="103">
        <v>111.5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1309</v>
      </c>
      <c r="E52" s="104">
        <v>-9.9000000000000008E-3</v>
      </c>
      <c r="F52" s="103">
        <v>1</v>
      </c>
      <c r="G52" s="103">
        <v>1</v>
      </c>
      <c r="H52" s="105">
        <v>689</v>
      </c>
      <c r="I52" s="103">
        <v>101.5</v>
      </c>
      <c r="J52" s="103">
        <v>99.9</v>
      </c>
      <c r="K52" s="103">
        <v>91.4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13.2</v>
      </c>
      <c r="E53" s="103">
        <v>0.4</v>
      </c>
      <c r="F53" s="103">
        <v>13.1</v>
      </c>
      <c r="G53" s="103">
        <v>13.25</v>
      </c>
      <c r="H53" s="103">
        <v>10</v>
      </c>
      <c r="I53" s="103">
        <v>13.1</v>
      </c>
      <c r="J53" s="103">
        <v>13.25</v>
      </c>
      <c r="K53" s="103">
        <v>14.05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16</v>
      </c>
      <c r="E54" s="104">
        <v>3.1300000000000001E-2</v>
      </c>
      <c r="F54" s="103">
        <v>1</v>
      </c>
      <c r="G54" s="103">
        <v>4</v>
      </c>
      <c r="H54" s="103">
        <v>6</v>
      </c>
      <c r="I54" s="103">
        <v>12.8</v>
      </c>
      <c r="J54" s="103">
        <v>12.85</v>
      </c>
      <c r="K54" s="103">
        <v>11.55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53.1</v>
      </c>
      <c r="E55" s="103">
        <v>-0.6</v>
      </c>
      <c r="F55" s="103">
        <v>53</v>
      </c>
      <c r="G55" s="103">
        <v>53.1</v>
      </c>
      <c r="H55" s="105">
        <v>266</v>
      </c>
      <c r="I55" s="103">
        <v>52</v>
      </c>
      <c r="J55" s="103">
        <v>53.5</v>
      </c>
      <c r="K55" s="103">
        <v>59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708</v>
      </c>
      <c r="E56" s="104">
        <v>-1.12E-2</v>
      </c>
      <c r="F56" s="103">
        <v>6</v>
      </c>
      <c r="G56" s="103">
        <v>1</v>
      </c>
      <c r="H56" s="105">
        <v>418</v>
      </c>
      <c r="I56" s="103">
        <v>53.7</v>
      </c>
      <c r="J56" s="103">
        <v>51.5</v>
      </c>
      <c r="K56" s="103">
        <v>48.35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0.60416666666666663</v>
      </c>
      <c r="D57" s="103">
        <v>63.9</v>
      </c>
      <c r="E57" s="103">
        <v>-0.1</v>
      </c>
      <c r="F57" s="103">
        <v>63.9</v>
      </c>
      <c r="G57" s="103">
        <v>64</v>
      </c>
      <c r="H57" s="105">
        <v>84</v>
      </c>
      <c r="I57" s="103">
        <v>64.400000000000006</v>
      </c>
      <c r="J57" s="103">
        <v>64.400000000000006</v>
      </c>
      <c r="K57" s="103">
        <v>70.400000000000006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171</v>
      </c>
      <c r="E58" s="104">
        <v>-1.6000000000000001E-3</v>
      </c>
      <c r="F58" s="103">
        <v>1</v>
      </c>
      <c r="G58" s="103">
        <v>12</v>
      </c>
      <c r="H58" s="105">
        <v>85</v>
      </c>
      <c r="I58" s="103">
        <v>64</v>
      </c>
      <c r="J58" s="103">
        <v>63.1</v>
      </c>
      <c r="K58" s="103">
        <v>57.6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0.55876157407407401</v>
      </c>
      <c r="D59" s="103">
        <v>51.9</v>
      </c>
      <c r="E59" s="103">
        <v>-0.7</v>
      </c>
      <c r="F59" s="103">
        <v>51.4</v>
      </c>
      <c r="G59" s="103">
        <v>51.7</v>
      </c>
      <c r="H59" s="103">
        <v>2</v>
      </c>
      <c r="I59" s="103">
        <v>52</v>
      </c>
      <c r="J59" s="103">
        <v>52</v>
      </c>
      <c r="K59" s="103">
        <v>57.8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4</v>
      </c>
      <c r="E60" s="104">
        <v>-1.3299999999999999E-2</v>
      </c>
      <c r="F60" s="103">
        <v>1</v>
      </c>
      <c r="G60" s="103">
        <v>1</v>
      </c>
      <c r="H60" s="103">
        <v>1</v>
      </c>
      <c r="I60" s="103">
        <v>52.6</v>
      </c>
      <c r="J60" s="103">
        <v>51.5</v>
      </c>
      <c r="K60" s="103">
        <v>47.35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0.5699305555555555</v>
      </c>
      <c r="D61" s="103">
        <v>35.9</v>
      </c>
      <c r="E61" s="103">
        <v>0.4</v>
      </c>
      <c r="F61" s="103">
        <v>35.75</v>
      </c>
      <c r="G61" s="103">
        <v>35.950000000000003</v>
      </c>
      <c r="H61" s="103" t="s">
        <v>14</v>
      </c>
      <c r="I61" s="103">
        <v>35.9</v>
      </c>
      <c r="J61" s="103">
        <v>35.9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2</v>
      </c>
      <c r="E62" s="104">
        <v>1.1299999999999999E-2</v>
      </c>
      <c r="F62" s="105">
        <v>3000</v>
      </c>
      <c r="G62" s="105">
        <v>3000</v>
      </c>
      <c r="H62" s="103">
        <v>2</v>
      </c>
      <c r="I62" s="103">
        <v>35.5</v>
      </c>
      <c r="J62" s="103">
        <v>35.9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261.5</v>
      </c>
      <c r="E63" s="103">
        <v>-0.5</v>
      </c>
      <c r="F63" s="103">
        <v>261.5</v>
      </c>
      <c r="G63" s="103">
        <v>262.5</v>
      </c>
      <c r="H63" s="105">
        <v>754</v>
      </c>
      <c r="I63" s="103">
        <v>262</v>
      </c>
      <c r="J63" s="103">
        <v>263</v>
      </c>
      <c r="K63" s="103">
        <v>288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1055</v>
      </c>
      <c r="E64" s="104">
        <v>-1.9E-3</v>
      </c>
      <c r="F64" s="103">
        <v>3</v>
      </c>
      <c r="G64" s="103">
        <v>30</v>
      </c>
      <c r="H64" s="105">
        <v>286</v>
      </c>
      <c r="I64" s="103">
        <v>262</v>
      </c>
      <c r="J64" s="103">
        <v>261.5</v>
      </c>
      <c r="K64" s="103">
        <v>236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25.3</v>
      </c>
      <c r="E65" s="103" t="s">
        <v>14</v>
      </c>
      <c r="F65" s="103">
        <v>25.3</v>
      </c>
      <c r="G65" s="103">
        <v>25.35</v>
      </c>
      <c r="H65" s="105">
        <v>1239</v>
      </c>
      <c r="I65" s="103">
        <v>25.4</v>
      </c>
      <c r="J65" s="103">
        <v>25.5</v>
      </c>
      <c r="K65" s="103">
        <v>27.8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1849</v>
      </c>
      <c r="E66" s="104" t="s">
        <v>14</v>
      </c>
      <c r="F66" s="103">
        <v>134</v>
      </c>
      <c r="G66" s="103">
        <v>13</v>
      </c>
      <c r="H66" s="105">
        <v>594</v>
      </c>
      <c r="I66" s="103">
        <v>25.3</v>
      </c>
      <c r="J66" s="103">
        <v>25.3</v>
      </c>
      <c r="K66" s="103">
        <v>22.8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529</v>
      </c>
      <c r="E67" s="103">
        <v>5</v>
      </c>
      <c r="F67" s="103">
        <v>528</v>
      </c>
      <c r="G67" s="103">
        <v>529</v>
      </c>
      <c r="H67" s="103">
        <v>128</v>
      </c>
      <c r="I67" s="103">
        <v>522</v>
      </c>
      <c r="J67" s="103">
        <v>532</v>
      </c>
      <c r="K67" s="103">
        <v>576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324</v>
      </c>
      <c r="E68" s="104">
        <v>9.4999999999999998E-3</v>
      </c>
      <c r="F68" s="103">
        <v>3</v>
      </c>
      <c r="G68" s="103">
        <v>6</v>
      </c>
      <c r="H68" s="103">
        <v>196</v>
      </c>
      <c r="I68" s="103">
        <v>524</v>
      </c>
      <c r="J68" s="103">
        <v>522</v>
      </c>
      <c r="K68" s="103">
        <v>472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10.050000000000001</v>
      </c>
      <c r="E69" s="103">
        <v>0.06</v>
      </c>
      <c r="F69" s="103">
        <v>10</v>
      </c>
      <c r="G69" s="103">
        <v>10.1</v>
      </c>
      <c r="H69" s="105">
        <v>188</v>
      </c>
      <c r="I69" s="103">
        <v>10.1</v>
      </c>
      <c r="J69" s="103">
        <v>10.1</v>
      </c>
      <c r="K69" s="103">
        <v>10.95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375</v>
      </c>
      <c r="E70" s="104">
        <v>6.0000000000000001E-3</v>
      </c>
      <c r="F70" s="103">
        <v>23</v>
      </c>
      <c r="G70" s="103">
        <v>2</v>
      </c>
      <c r="H70" s="105">
        <v>183</v>
      </c>
      <c r="I70" s="103">
        <v>9.99</v>
      </c>
      <c r="J70" s="103">
        <v>9.92</v>
      </c>
      <c r="K70" s="103">
        <v>9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0.5625</v>
      </c>
      <c r="D71" s="103">
        <v>206</v>
      </c>
      <c r="E71" s="103" t="s">
        <v>14</v>
      </c>
      <c r="F71" s="103">
        <v>205.5</v>
      </c>
      <c r="G71" s="103">
        <v>206.5</v>
      </c>
      <c r="H71" s="103">
        <v>42</v>
      </c>
      <c r="I71" s="103">
        <v>207.5</v>
      </c>
      <c r="J71" s="103">
        <v>207.5</v>
      </c>
      <c r="K71" s="103">
        <v>226.5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108</v>
      </c>
      <c r="E72" s="104" t="s">
        <v>14</v>
      </c>
      <c r="F72" s="103">
        <v>7</v>
      </c>
      <c r="G72" s="103">
        <v>8</v>
      </c>
      <c r="H72" s="103">
        <v>54</v>
      </c>
      <c r="I72" s="103">
        <v>206</v>
      </c>
      <c r="J72" s="103">
        <v>205</v>
      </c>
      <c r="K72" s="103">
        <v>185.5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52.7</v>
      </c>
      <c r="E73" s="103">
        <v>-1.1000000000000001</v>
      </c>
      <c r="F73" s="103">
        <v>52.7</v>
      </c>
      <c r="G73" s="103">
        <v>52.9</v>
      </c>
      <c r="H73" s="103">
        <v>113</v>
      </c>
      <c r="I73" s="103">
        <v>53.5</v>
      </c>
      <c r="J73" s="103">
        <v>53.5</v>
      </c>
      <c r="K73" s="103">
        <v>59.1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123</v>
      </c>
      <c r="E74" s="104">
        <v>-2.0400000000000001E-2</v>
      </c>
      <c r="F74" s="103">
        <v>6</v>
      </c>
      <c r="G74" s="103">
        <v>1</v>
      </c>
      <c r="H74" s="103">
        <v>10</v>
      </c>
      <c r="I74" s="103">
        <v>53.8</v>
      </c>
      <c r="J74" s="103">
        <v>52.6</v>
      </c>
      <c r="K74" s="103">
        <v>48.45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103.5</v>
      </c>
      <c r="E75" s="103">
        <v>0.5</v>
      </c>
      <c r="F75" s="103">
        <v>103.5</v>
      </c>
      <c r="G75" s="103">
        <v>104</v>
      </c>
      <c r="H75" s="103">
        <v>127</v>
      </c>
      <c r="I75" s="103">
        <v>103.5</v>
      </c>
      <c r="J75" s="103">
        <v>104.5</v>
      </c>
      <c r="K75" s="103">
        <v>113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250</v>
      </c>
      <c r="E76" s="104">
        <v>4.8999999999999998E-3</v>
      </c>
      <c r="F76" s="103">
        <v>5</v>
      </c>
      <c r="G76" s="103">
        <v>12</v>
      </c>
      <c r="H76" s="105">
        <v>108</v>
      </c>
      <c r="I76" s="103">
        <v>103</v>
      </c>
      <c r="J76" s="103">
        <v>103</v>
      </c>
      <c r="K76" s="103">
        <v>92.7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0.60416666666666663</v>
      </c>
      <c r="D77" s="103">
        <v>240.5</v>
      </c>
      <c r="E77" s="103">
        <v>0.5</v>
      </c>
      <c r="F77" s="103">
        <v>240</v>
      </c>
      <c r="G77" s="103">
        <v>241</v>
      </c>
      <c r="H77" s="105">
        <v>171</v>
      </c>
      <c r="I77" s="103">
        <v>240.5</v>
      </c>
      <c r="J77" s="103">
        <v>241</v>
      </c>
      <c r="K77" s="103">
        <v>264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352</v>
      </c>
      <c r="E78" s="104">
        <v>2.0999999999999999E-3</v>
      </c>
      <c r="F78" s="103">
        <v>11</v>
      </c>
      <c r="G78" s="103">
        <v>21</v>
      </c>
      <c r="H78" s="105">
        <v>176</v>
      </c>
      <c r="I78" s="103">
        <v>240</v>
      </c>
      <c r="J78" s="103">
        <v>239</v>
      </c>
      <c r="K78" s="103">
        <v>216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0.54827546296296303</v>
      </c>
      <c r="D79" s="103">
        <v>64.400000000000006</v>
      </c>
      <c r="E79" s="103">
        <v>0.3</v>
      </c>
      <c r="F79" s="103">
        <v>63.9</v>
      </c>
      <c r="G79" s="103">
        <v>64.8</v>
      </c>
      <c r="H79" s="103">
        <v>3</v>
      </c>
      <c r="I79" s="103">
        <v>64.3</v>
      </c>
      <c r="J79" s="103">
        <v>64.599999999999994</v>
      </c>
      <c r="K79" s="103">
        <v>70.5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5</v>
      </c>
      <c r="E80" s="104">
        <v>4.7000000000000002E-3</v>
      </c>
      <c r="F80" s="103">
        <v>1</v>
      </c>
      <c r="G80" s="103">
        <v>2</v>
      </c>
      <c r="H80" s="103">
        <v>2</v>
      </c>
      <c r="I80" s="103">
        <v>64.099999999999994</v>
      </c>
      <c r="J80" s="103">
        <v>64.3</v>
      </c>
      <c r="K80" s="103">
        <v>57.7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204</v>
      </c>
      <c r="E81" s="103">
        <v>-1.5</v>
      </c>
      <c r="F81" s="103">
        <v>204</v>
      </c>
      <c r="G81" s="103">
        <v>205</v>
      </c>
      <c r="H81" s="103">
        <v>32</v>
      </c>
      <c r="I81" s="103">
        <v>205.5</v>
      </c>
      <c r="J81" s="103">
        <v>205.5</v>
      </c>
      <c r="K81" s="103">
        <v>226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33</v>
      </c>
      <c r="E82" s="104">
        <v>-7.3000000000000001E-3</v>
      </c>
      <c r="F82" s="103">
        <v>10</v>
      </c>
      <c r="G82" s="103">
        <v>1</v>
      </c>
      <c r="H82" s="103" t="s">
        <v>14</v>
      </c>
      <c r="I82" s="103">
        <v>205.5</v>
      </c>
      <c r="J82" s="103">
        <v>204</v>
      </c>
      <c r="K82" s="103">
        <v>185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0.5625</v>
      </c>
      <c r="D83" s="103">
        <v>68.400000000000006</v>
      </c>
      <c r="E83" s="103">
        <v>-0.4</v>
      </c>
      <c r="F83" s="103">
        <v>68.400000000000006</v>
      </c>
      <c r="G83" s="103">
        <v>68.599999999999994</v>
      </c>
      <c r="H83" s="105">
        <v>1983</v>
      </c>
      <c r="I83" s="103">
        <v>68.599999999999994</v>
      </c>
      <c r="J83" s="103">
        <v>69.5</v>
      </c>
      <c r="K83" s="103">
        <v>75.599999999999994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2720</v>
      </c>
      <c r="E84" s="104">
        <v>-5.7999999999999996E-3</v>
      </c>
      <c r="F84" s="103">
        <v>187</v>
      </c>
      <c r="G84" s="103">
        <v>6</v>
      </c>
      <c r="H84" s="105">
        <v>666</v>
      </c>
      <c r="I84" s="103">
        <v>68.8</v>
      </c>
      <c r="J84" s="103">
        <v>68.400000000000006</v>
      </c>
      <c r="K84" s="103">
        <v>62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47.65</v>
      </c>
      <c r="E85" s="103">
        <v>-0.45</v>
      </c>
      <c r="F85" s="103">
        <v>47.65</v>
      </c>
      <c r="G85" s="103">
        <v>47.7</v>
      </c>
      <c r="H85" s="105">
        <v>567</v>
      </c>
      <c r="I85" s="103">
        <v>47.9</v>
      </c>
      <c r="J85" s="103">
        <v>48.2</v>
      </c>
      <c r="K85" s="103">
        <v>52.9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1052</v>
      </c>
      <c r="E86" s="104">
        <v>-9.4000000000000004E-3</v>
      </c>
      <c r="F86" s="103">
        <v>4</v>
      </c>
      <c r="G86" s="103">
        <v>1</v>
      </c>
      <c r="H86" s="105">
        <v>447</v>
      </c>
      <c r="I86" s="103">
        <v>48.1</v>
      </c>
      <c r="J86" s="103">
        <v>47.45</v>
      </c>
      <c r="K86" s="103">
        <v>43.3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48.5</v>
      </c>
      <c r="E87" s="103">
        <v>1.1000000000000001</v>
      </c>
      <c r="F87" s="103">
        <v>48.5</v>
      </c>
      <c r="G87" s="103">
        <v>48.55</v>
      </c>
      <c r="H87" s="105">
        <v>911</v>
      </c>
      <c r="I87" s="103">
        <v>48</v>
      </c>
      <c r="J87" s="103">
        <v>48.65</v>
      </c>
      <c r="K87" s="103">
        <v>52.1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1602</v>
      </c>
      <c r="E88" s="104">
        <v>2.3199999999999998E-2</v>
      </c>
      <c r="F88" s="105">
        <v>6</v>
      </c>
      <c r="G88" s="103">
        <v>16</v>
      </c>
      <c r="H88" s="105">
        <v>663</v>
      </c>
      <c r="I88" s="103">
        <v>47.4</v>
      </c>
      <c r="J88" s="103">
        <v>46.95</v>
      </c>
      <c r="K88" s="103">
        <v>42.7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387</v>
      </c>
      <c r="E89" s="103">
        <v>-0.5</v>
      </c>
      <c r="F89" s="103">
        <v>386.5</v>
      </c>
      <c r="G89" s="103">
        <v>387.5</v>
      </c>
      <c r="H89" s="103">
        <v>228</v>
      </c>
      <c r="I89" s="103">
        <v>389.5</v>
      </c>
      <c r="J89" s="103">
        <v>391</v>
      </c>
      <c r="K89" s="103">
        <v>426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392</v>
      </c>
      <c r="E90" s="104">
        <v>-1.2999999999999999E-3</v>
      </c>
      <c r="F90" s="103">
        <v>1</v>
      </c>
      <c r="G90" s="103">
        <v>5</v>
      </c>
      <c r="H90" s="105">
        <v>162</v>
      </c>
      <c r="I90" s="103">
        <v>387.5</v>
      </c>
      <c r="J90" s="103">
        <v>383.5</v>
      </c>
      <c r="K90" s="103">
        <v>349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0.5588657407407408</v>
      </c>
      <c r="D91" s="103">
        <v>772</v>
      </c>
      <c r="E91" s="103">
        <v>-4</v>
      </c>
      <c r="F91" s="103">
        <v>772</v>
      </c>
      <c r="G91" s="103">
        <v>775</v>
      </c>
      <c r="H91" s="103">
        <v>26</v>
      </c>
      <c r="I91" s="103">
        <v>763</v>
      </c>
      <c r="J91" s="103">
        <v>781</v>
      </c>
      <c r="K91" s="103">
        <v>853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56</v>
      </c>
      <c r="E92" s="104">
        <v>-5.1999999999999998E-3</v>
      </c>
      <c r="F92" s="103">
        <v>2</v>
      </c>
      <c r="G92" s="103">
        <v>1</v>
      </c>
      <c r="H92" s="103">
        <v>30</v>
      </c>
      <c r="I92" s="103">
        <v>776</v>
      </c>
      <c r="J92" s="103">
        <v>763</v>
      </c>
      <c r="K92" s="103">
        <v>699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9.5000000000000001E-2</v>
      </c>
      <c r="G94" s="86">
        <f>F94-M94</f>
        <v>1.0000000000000009E-3</v>
      </c>
      <c r="H94" s="87">
        <f>F94/M94-1</f>
        <v>1.0638297872340496E-2</v>
      </c>
      <c r="I94" s="98">
        <v>1480</v>
      </c>
      <c r="J94" s="100">
        <v>9.4E-2</v>
      </c>
      <c r="K94" s="100">
        <v>9.8000000000000004E-2</v>
      </c>
      <c r="L94" s="100">
        <v>9.0999999999999998E-2</v>
      </c>
      <c r="M94" s="88">
        <v>9.4E-2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0.29499999999999998</v>
      </c>
      <c r="G95" s="86">
        <f>F95-M95</f>
        <v>-1.5000000000000013E-2</v>
      </c>
      <c r="H95" s="87">
        <f>F95/M95-1</f>
        <v>-4.8387096774193616E-2</v>
      </c>
      <c r="I95" s="98">
        <v>139</v>
      </c>
      <c r="J95" s="100">
        <v>0.32</v>
      </c>
      <c r="K95" s="100">
        <v>0.33</v>
      </c>
      <c r="L95" s="100">
        <v>0.29499999999999998</v>
      </c>
      <c r="M95" s="88">
        <v>0.31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8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45727.769028009257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22071.09</v>
      </c>
      <c r="E6" s="94">
        <v>22459.15</v>
      </c>
      <c r="F6" s="33">
        <f>(D6-E6)/E6</f>
        <v>-1.7278481153561079E-2</v>
      </c>
      <c r="G6" s="34"/>
      <c r="H6" s="91">
        <f>ROUND(428932802487/100000000,2)</f>
        <v>4289.33</v>
      </c>
      <c r="I6" s="91">
        <v>3549.62</v>
      </c>
      <c r="J6" s="35">
        <f>+H6-I6</f>
        <v>739.71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23782.14</v>
      </c>
      <c r="E8" s="90">
        <v>23783.49</v>
      </c>
      <c r="F8" s="33">
        <f>(D8-E8)/E8</f>
        <v>-5.6762064776960098E-5</v>
      </c>
      <c r="G8" s="34"/>
      <c r="H8" s="91">
        <v>3070.34</v>
      </c>
      <c r="I8" s="91">
        <v>3018.15</v>
      </c>
      <c r="J8" s="35">
        <f>+H8-I8</f>
        <v>52.190000000000055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今日收盤3/11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51.4</v>
      </c>
      <c r="E13" s="60">
        <f>I60</f>
        <v>51.9</v>
      </c>
      <c r="F13" s="61">
        <f>D13-E13</f>
        <v>-0.5</v>
      </c>
      <c r="G13" s="62">
        <f>F13/E13</f>
        <v>-9.6339113680154152E-3</v>
      </c>
      <c r="H13" s="63">
        <f>I59</f>
        <v>51</v>
      </c>
      <c r="I13" s="60">
        <f>J60</f>
        <v>50.4</v>
      </c>
      <c r="J13" s="60">
        <f>J59</f>
        <v>51.9</v>
      </c>
      <c r="K13" s="64">
        <f>D60</f>
        <v>12</v>
      </c>
      <c r="L13" s="64">
        <f>+O13*D13</f>
        <v>2435.8280100000002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260</v>
      </c>
      <c r="E14" s="60">
        <f>I64</f>
        <v>261.5</v>
      </c>
      <c r="F14" s="61">
        <f t="shared" ref="F14:F30" si="0">D14-E14</f>
        <v>-1.5</v>
      </c>
      <c r="G14" s="62">
        <f>F14/E14</f>
        <v>-5.7361376673040155E-3</v>
      </c>
      <c r="H14" s="63">
        <f>I63</f>
        <v>260</v>
      </c>
      <c r="I14" s="60">
        <f>J64</f>
        <v>257.5</v>
      </c>
      <c r="J14" s="60">
        <f>J63</f>
        <v>261</v>
      </c>
      <c r="K14" s="73">
        <f>D64</f>
        <v>2453</v>
      </c>
      <c r="L14" s="64">
        <f>+O14*D14</f>
        <v>270301.72000000003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195.5</v>
      </c>
      <c r="E15" s="71">
        <f>$I$50</f>
        <v>192</v>
      </c>
      <c r="F15" s="61">
        <f>D15-E15</f>
        <v>3.5</v>
      </c>
      <c r="G15" s="62">
        <f>F15/E15</f>
        <v>1.8229166666666668E-2</v>
      </c>
      <c r="H15" s="72">
        <f>$I$49</f>
        <v>193.5</v>
      </c>
      <c r="I15" s="60">
        <f>J50</f>
        <v>193.5</v>
      </c>
      <c r="J15" s="71">
        <f>$J$49</f>
        <v>198</v>
      </c>
      <c r="K15" s="73">
        <f>$D$50</f>
        <v>397</v>
      </c>
      <c r="L15" s="64">
        <f>D15*O15</f>
        <v>43639.51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40.15</v>
      </c>
      <c r="E16" s="71">
        <f>I48</f>
        <v>40.549999999999997</v>
      </c>
      <c r="F16" s="61">
        <f>D16-E16</f>
        <v>-0.39999999999999858</v>
      </c>
      <c r="G16" s="62">
        <f>F16/E16</f>
        <v>-9.8643649815042811E-3</v>
      </c>
      <c r="H16" s="72">
        <f>I47</f>
        <v>40.950000000000003</v>
      </c>
      <c r="I16" s="60">
        <f>J48</f>
        <v>40.15</v>
      </c>
      <c r="J16" s="71">
        <f>J47</f>
        <v>40.950000000000003</v>
      </c>
      <c r="K16" s="73">
        <f>D48</f>
        <v>19</v>
      </c>
      <c r="L16" s="64">
        <f>D16*O16</f>
        <v>2710.125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24.85</v>
      </c>
      <c r="E17" s="60">
        <f>I66</f>
        <v>25.3</v>
      </c>
      <c r="F17" s="61">
        <f t="shared" si="0"/>
        <v>-0.44999999999999929</v>
      </c>
      <c r="G17" s="62">
        <f t="shared" ref="G17:G22" si="1">F17/E17</f>
        <v>-1.7786561264822105E-2</v>
      </c>
      <c r="H17" s="63">
        <f>I65</f>
        <v>24.85</v>
      </c>
      <c r="I17" s="60">
        <f>J66</f>
        <v>24.45</v>
      </c>
      <c r="J17" s="60">
        <f>J65</f>
        <v>25.15</v>
      </c>
      <c r="K17" s="64">
        <f>D66</f>
        <v>6705</v>
      </c>
      <c r="L17" s="64">
        <f>+O17*D17</f>
        <v>35210.983850000004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520</v>
      </c>
      <c r="E18" s="60">
        <f>I68</f>
        <v>529</v>
      </c>
      <c r="F18" s="61">
        <f t="shared" si="0"/>
        <v>-9</v>
      </c>
      <c r="G18" s="62">
        <f t="shared" si="1"/>
        <v>-1.7013232514177693E-2</v>
      </c>
      <c r="H18" s="63">
        <f>I67</f>
        <v>517</v>
      </c>
      <c r="I18" s="60">
        <f>J68</f>
        <v>517</v>
      </c>
      <c r="J18" s="60">
        <f>J67</f>
        <v>527</v>
      </c>
      <c r="K18" s="64">
        <f>D68</f>
        <v>534</v>
      </c>
      <c r="L18" s="64">
        <f>+O18*D18</f>
        <v>54566.720000000001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9.94</v>
      </c>
      <c r="E19" s="60">
        <f>I70</f>
        <v>10.050000000000001</v>
      </c>
      <c r="F19" s="61">
        <f t="shared" si="0"/>
        <v>-0.11000000000000121</v>
      </c>
      <c r="G19" s="62">
        <f>F19/E19</f>
        <v>-1.0945273631840915E-2</v>
      </c>
      <c r="H19" s="63">
        <f>I69</f>
        <v>10</v>
      </c>
      <c r="I19" s="60">
        <f>J70</f>
        <v>9.3699999999999992</v>
      </c>
      <c r="J19" s="60">
        <f>J69</f>
        <v>10</v>
      </c>
      <c r="K19" s="64">
        <f>D70</f>
        <v>431</v>
      </c>
      <c r="L19" s="64">
        <f>+O19*D19</f>
        <v>1943.5781399999998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35.9</v>
      </c>
      <c r="E20" s="60">
        <f>I62</f>
        <v>35.9</v>
      </c>
      <c r="F20" s="61">
        <f>D20-E20</f>
        <v>0</v>
      </c>
      <c r="G20" s="62">
        <f>F20/E20</f>
        <v>0</v>
      </c>
      <c r="H20" s="63">
        <f>I61</f>
        <v>35.75</v>
      </c>
      <c r="I20" s="60">
        <f>J62</f>
        <v>35.75</v>
      </c>
      <c r="J20" s="60">
        <f>J61</f>
        <v>35.9</v>
      </c>
      <c r="K20" s="64">
        <f>D62</f>
        <v>3</v>
      </c>
      <c r="L20" s="64">
        <f>O20*D20</f>
        <v>2154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210.5</v>
      </c>
      <c r="E21" s="60">
        <f>I72</f>
        <v>206</v>
      </c>
      <c r="F21" s="61">
        <f t="shared" si="0"/>
        <v>4.5</v>
      </c>
      <c r="G21" s="62">
        <f t="shared" si="1"/>
        <v>2.1844660194174758E-2</v>
      </c>
      <c r="H21" s="63">
        <f>I71</f>
        <v>208</v>
      </c>
      <c r="I21" s="60">
        <f>J72</f>
        <v>204.5</v>
      </c>
      <c r="J21" s="60">
        <f>J71</f>
        <v>211</v>
      </c>
      <c r="K21" s="64">
        <f>D72</f>
        <v>936</v>
      </c>
      <c r="L21" s="64">
        <f t="shared" ref="L21:L28" si="2">+O21*D21</f>
        <v>26818.3315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51.6</v>
      </c>
      <c r="E22" s="60">
        <f>I74</f>
        <v>52.7</v>
      </c>
      <c r="F22" s="61">
        <f t="shared" si="0"/>
        <v>-1.1000000000000014</v>
      </c>
      <c r="G22" s="62">
        <f t="shared" si="1"/>
        <v>-2.087286527514234E-2</v>
      </c>
      <c r="H22" s="63">
        <f>I73</f>
        <v>51.5</v>
      </c>
      <c r="I22" s="60">
        <f>J74</f>
        <v>50.4</v>
      </c>
      <c r="J22" s="60">
        <f>J73</f>
        <v>52.1</v>
      </c>
      <c r="K22" s="64">
        <f>D74</f>
        <v>214</v>
      </c>
      <c r="L22" s="64">
        <f t="shared" si="2"/>
        <v>18933.1928988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49.45</v>
      </c>
      <c r="E23" s="60">
        <f>I56</f>
        <v>53.1</v>
      </c>
      <c r="F23" s="61">
        <f>D23-E23</f>
        <v>-3.6499999999999986</v>
      </c>
      <c r="G23" s="62">
        <f>F23/E23</f>
        <v>-6.8738229755178876E-2</v>
      </c>
      <c r="H23" s="63">
        <f>I55</f>
        <v>51.8</v>
      </c>
      <c r="I23" s="60">
        <f>J56</f>
        <v>49.05</v>
      </c>
      <c r="J23" s="60">
        <f>J55</f>
        <v>52</v>
      </c>
      <c r="K23" s="64">
        <f>D56</f>
        <v>1039</v>
      </c>
      <c r="L23" s="64">
        <f t="shared" si="2"/>
        <v>4525.9606999999996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62.6</v>
      </c>
      <c r="E24" s="60">
        <f>I58</f>
        <v>63.9</v>
      </c>
      <c r="F24" s="68">
        <f t="shared" si="0"/>
        <v>-1.2999999999999972</v>
      </c>
      <c r="G24" s="69">
        <f>F24/E24</f>
        <v>-2.034428794992171E-2</v>
      </c>
      <c r="H24" s="63">
        <f>I57</f>
        <v>62.4</v>
      </c>
      <c r="I24" s="60">
        <f>J58</f>
        <v>61.1</v>
      </c>
      <c r="J24" s="60">
        <f>J57</f>
        <v>63.3</v>
      </c>
      <c r="K24" s="64">
        <f>D58</f>
        <v>163</v>
      </c>
      <c r="L24" s="64">
        <f t="shared" si="2"/>
        <v>6621.7654000000002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101</v>
      </c>
      <c r="E25" s="71">
        <f>I76</f>
        <v>103.5</v>
      </c>
      <c r="F25" s="68">
        <f t="shared" si="0"/>
        <v>-2.5</v>
      </c>
      <c r="G25" s="69">
        <f t="shared" ref="G25:G31" si="3">F25/E25</f>
        <v>-2.4154589371980676E-2</v>
      </c>
      <c r="H25" s="72">
        <f>I75</f>
        <v>101</v>
      </c>
      <c r="I25" s="60">
        <f>J76</f>
        <v>98.6</v>
      </c>
      <c r="J25" s="71">
        <f>J75</f>
        <v>101</v>
      </c>
      <c r="K25" s="73">
        <f>D76</f>
        <v>563</v>
      </c>
      <c r="L25" s="64">
        <f t="shared" si="2"/>
        <v>18180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239</v>
      </c>
      <c r="E26" s="71">
        <f>I78</f>
        <v>240.5</v>
      </c>
      <c r="F26" s="68">
        <f t="shared" si="0"/>
        <v>-1.5</v>
      </c>
      <c r="G26" s="69">
        <f t="shared" si="3"/>
        <v>-6.2370062370062374E-3</v>
      </c>
      <c r="H26" s="72">
        <f>I77</f>
        <v>237.5</v>
      </c>
      <c r="I26" s="71">
        <f>J78</f>
        <v>235</v>
      </c>
      <c r="J26" s="71">
        <f>J77</f>
        <v>240</v>
      </c>
      <c r="K26" s="73">
        <f>D78</f>
        <v>321</v>
      </c>
      <c r="L26" s="64">
        <f t="shared" si="2"/>
        <v>20183.788999999997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64.5</v>
      </c>
      <c r="E27" s="71">
        <f>I80</f>
        <v>64.400000000000006</v>
      </c>
      <c r="F27" s="68">
        <f>D27-E27</f>
        <v>9.9999999999994316E-2</v>
      </c>
      <c r="G27" s="69">
        <f>F27/E27</f>
        <v>1.5527950310558123E-3</v>
      </c>
      <c r="H27" s="72">
        <f>I79</f>
        <v>64.7</v>
      </c>
      <c r="I27" s="71">
        <f>J80</f>
        <v>64.5</v>
      </c>
      <c r="J27" s="71">
        <f>J79</f>
        <v>64.7</v>
      </c>
      <c r="K27" s="73">
        <f>D80</f>
        <v>6</v>
      </c>
      <c r="L27" s="64">
        <f t="shared" si="2"/>
        <v>2089.12275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204</v>
      </c>
      <c r="E28" s="71">
        <f>I82</f>
        <v>204</v>
      </c>
      <c r="F28" s="68">
        <f t="shared" si="0"/>
        <v>0</v>
      </c>
      <c r="G28" s="69">
        <f t="shared" si="3"/>
        <v>0</v>
      </c>
      <c r="H28" s="72">
        <f>I81</f>
        <v>202</v>
      </c>
      <c r="I28" s="71">
        <f>J82</f>
        <v>200</v>
      </c>
      <c r="J28" s="71">
        <f>J81</f>
        <v>204</v>
      </c>
      <c r="K28" s="73">
        <f>D82</f>
        <v>20</v>
      </c>
      <c r="L28" s="64">
        <f t="shared" si="2"/>
        <v>8058.2039999999997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117</v>
      </c>
      <c r="E29" s="71">
        <f>I46</f>
        <v>117.22</v>
      </c>
      <c r="F29" s="68">
        <f>D29-E29</f>
        <v>-0.21999999999999886</v>
      </c>
      <c r="G29" s="69">
        <f>F29/E29</f>
        <v>-1.8768128305749776E-3</v>
      </c>
      <c r="H29" s="72">
        <f>I45</f>
        <v>117.5</v>
      </c>
      <c r="I29" s="71">
        <f>J46</f>
        <v>115.5</v>
      </c>
      <c r="J29" s="71">
        <f>J45</f>
        <v>118.5</v>
      </c>
      <c r="K29" s="73">
        <f>D46</f>
        <v>53</v>
      </c>
      <c r="L29" s="64">
        <f>+D29*O29</f>
        <v>2396.8761570000001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46.95</v>
      </c>
      <c r="E30" s="71">
        <f>I88</f>
        <v>48.5</v>
      </c>
      <c r="F30" s="68">
        <f t="shared" si="0"/>
        <v>-1.5499999999999972</v>
      </c>
      <c r="G30" s="69">
        <f t="shared" si="3"/>
        <v>-3.195876288659788E-2</v>
      </c>
      <c r="H30" s="72">
        <f>I87</f>
        <v>47.6</v>
      </c>
      <c r="I30" s="71">
        <f>J88</f>
        <v>45.8</v>
      </c>
      <c r="J30" s="71">
        <f>J87</f>
        <v>47.6</v>
      </c>
      <c r="K30" s="73">
        <f>D88</f>
        <v>1706</v>
      </c>
      <c r="L30" s="64">
        <f>D30*O30</f>
        <v>9655.1266500000002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50.7</v>
      </c>
      <c r="E31" s="71">
        <f>I86</f>
        <v>47.65</v>
      </c>
      <c r="F31" s="68">
        <f>D31-E31</f>
        <v>3.0500000000000043</v>
      </c>
      <c r="G31" s="69">
        <f t="shared" si="3"/>
        <v>6.4008394543546787E-2</v>
      </c>
      <c r="H31" s="72">
        <f>I85</f>
        <v>47.45</v>
      </c>
      <c r="I31" s="71">
        <f>J86</f>
        <v>45.85</v>
      </c>
      <c r="J31" s="71">
        <f>J85</f>
        <v>50.8</v>
      </c>
      <c r="K31" s="73">
        <f>D86</f>
        <v>4649</v>
      </c>
      <c r="L31" s="64">
        <f>+O31*D31</f>
        <v>32055.734100000005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380.5</v>
      </c>
      <c r="E32" s="71">
        <f>I90</f>
        <v>387</v>
      </c>
      <c r="F32" s="68">
        <f>D32-E32</f>
        <v>-6.5</v>
      </c>
      <c r="G32" s="69">
        <f>F32/E32</f>
        <v>-1.6795865633074936E-2</v>
      </c>
      <c r="H32" s="72">
        <f>I89</f>
        <v>380</v>
      </c>
      <c r="I32" s="71">
        <f>J90</f>
        <v>371</v>
      </c>
      <c r="J32" s="71">
        <f>J89</f>
        <v>383</v>
      </c>
      <c r="K32" s="73">
        <f>D90</f>
        <v>609</v>
      </c>
      <c r="L32" s="64">
        <f>+O32*D32</f>
        <v>96021.838499999998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13.15</v>
      </c>
      <c r="E33" s="71">
        <f>I54</f>
        <v>13.2</v>
      </c>
      <c r="F33" s="68">
        <f>D33-E33</f>
        <v>-4.9999999999998934E-2</v>
      </c>
      <c r="G33" s="69">
        <f>F33/E33</f>
        <v>-3.7878787878787073E-3</v>
      </c>
      <c r="H33" s="72">
        <f>I53</f>
        <v>13.2</v>
      </c>
      <c r="I33" s="71">
        <f>J54</f>
        <v>13.1</v>
      </c>
      <c r="J33" s="71">
        <f>J53</f>
        <v>13.2</v>
      </c>
      <c r="K33" s="73">
        <f>D54</f>
        <v>10</v>
      </c>
      <c r="L33" s="64">
        <f>+O33*D33</f>
        <v>843.84865000000013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97.8</v>
      </c>
      <c r="E34" s="71">
        <f>$I$52</f>
        <v>100.5</v>
      </c>
      <c r="F34" s="68">
        <f>D34-E34</f>
        <v>-2.7000000000000028</v>
      </c>
      <c r="G34" s="69">
        <f>F34/E34</f>
        <v>-2.6865671641791072E-2</v>
      </c>
      <c r="H34" s="72">
        <f>$I$51</f>
        <v>98.5</v>
      </c>
      <c r="I34" s="71">
        <f>J52</f>
        <v>96.4</v>
      </c>
      <c r="J34" s="71">
        <f>$J$51</f>
        <v>99.6</v>
      </c>
      <c r="K34" s="73">
        <f>$D$52</f>
        <v>633</v>
      </c>
      <c r="L34" s="64">
        <f>+O34*D34</f>
        <v>11792.528399999999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740</v>
      </c>
      <c r="E35" s="71">
        <f>I92</f>
        <v>772</v>
      </c>
      <c r="F35" s="68">
        <f>D35-E35</f>
        <v>-32</v>
      </c>
      <c r="G35" s="69">
        <f>F35/E35</f>
        <v>-4.145077720207254E-2</v>
      </c>
      <c r="H35" s="72">
        <f>I91</f>
        <v>751</v>
      </c>
      <c r="I35" s="71">
        <f>J92</f>
        <v>717</v>
      </c>
      <c r="J35" s="71">
        <f>J91</f>
        <v>756</v>
      </c>
      <c r="K35" s="73">
        <f>D92</f>
        <v>213</v>
      </c>
      <c r="L35" s="64">
        <f>+O35*D35</f>
        <v>50320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9.8000000000000004E-2</v>
      </c>
      <c r="E38" s="60">
        <f>M94</f>
        <v>9.5000000000000001E-2</v>
      </c>
      <c r="F38" s="61">
        <f>D38-E38</f>
        <v>3.0000000000000027E-3</v>
      </c>
      <c r="G38" s="62">
        <f>F38/E38</f>
        <v>3.1578947368421081E-2</v>
      </c>
      <c r="H38" s="63">
        <f>J94</f>
        <v>9.7000000000000003E-2</v>
      </c>
      <c r="I38" s="60">
        <f>L94</f>
        <v>9.1999999999999998E-2</v>
      </c>
      <c r="J38" s="60">
        <f>K94</f>
        <v>0.1</v>
      </c>
      <c r="K38" s="64">
        <f>I94</f>
        <v>4177</v>
      </c>
      <c r="L38" s="64">
        <f>+O38*D38</f>
        <v>258.18413600000002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0.32</v>
      </c>
      <c r="E39" s="60">
        <f>M95</f>
        <v>0.29499999999999998</v>
      </c>
      <c r="F39" s="61">
        <f>D39-E39</f>
        <v>2.5000000000000022E-2</v>
      </c>
      <c r="G39" s="77">
        <f>F39/E39</f>
        <v>8.4745762711864486E-2</v>
      </c>
      <c r="H39" s="63">
        <f>J95</f>
        <v>0.32</v>
      </c>
      <c r="I39" s="60">
        <f>L95</f>
        <v>0.29499999999999998</v>
      </c>
      <c r="J39" s="60">
        <f>K95</f>
        <v>0.32</v>
      </c>
      <c r="K39" s="64">
        <f>I95</f>
        <v>727</v>
      </c>
      <c r="L39" s="64">
        <f>+O39*D39</f>
        <v>539.56640000000004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0.60945601851851849</v>
      </c>
      <c r="D45" s="103">
        <v>117</v>
      </c>
      <c r="E45" s="103">
        <v>-0.22</v>
      </c>
      <c r="F45" s="103">
        <v>116.5</v>
      </c>
      <c r="G45" s="103">
        <v>118.5</v>
      </c>
      <c r="H45" s="103">
        <v>15</v>
      </c>
      <c r="I45" s="103">
        <v>117.5</v>
      </c>
      <c r="J45" s="103">
        <v>118.5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53</v>
      </c>
      <c r="E46" s="104">
        <v>-1.9E-3</v>
      </c>
      <c r="F46" s="105">
        <v>4000</v>
      </c>
      <c r="G46" s="105">
        <v>5000</v>
      </c>
      <c r="H46" s="103">
        <v>14</v>
      </c>
      <c r="I46" s="103">
        <v>117.22</v>
      </c>
      <c r="J46" s="103">
        <v>115.5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0.55528935185185191</v>
      </c>
      <c r="D47" s="103">
        <v>40.15</v>
      </c>
      <c r="E47" s="103">
        <v>-0.4</v>
      </c>
      <c r="F47" s="103">
        <v>40.15</v>
      </c>
      <c r="G47" s="103">
        <v>40.65</v>
      </c>
      <c r="H47" s="103">
        <v>12</v>
      </c>
      <c r="I47" s="103">
        <v>40.950000000000003</v>
      </c>
      <c r="J47" s="103">
        <v>40.950000000000003</v>
      </c>
      <c r="K47" s="103">
        <v>44.6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19</v>
      </c>
      <c r="E48" s="104">
        <v>-9.9000000000000008E-3</v>
      </c>
      <c r="F48" s="103">
        <v>1</v>
      </c>
      <c r="G48" s="103">
        <v>1</v>
      </c>
      <c r="H48" s="103">
        <v>5</v>
      </c>
      <c r="I48" s="103">
        <v>40.549999999999997</v>
      </c>
      <c r="J48" s="103">
        <v>40.15</v>
      </c>
      <c r="K48" s="103">
        <v>36.5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195.5</v>
      </c>
      <c r="E49" s="103">
        <v>3.5</v>
      </c>
      <c r="F49" s="103">
        <v>195.5</v>
      </c>
      <c r="G49" s="103">
        <v>196</v>
      </c>
      <c r="H49" s="103">
        <v>140</v>
      </c>
      <c r="I49" s="103">
        <v>193.5</v>
      </c>
      <c r="J49" s="103">
        <v>198</v>
      </c>
      <c r="K49" s="103">
        <v>211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397</v>
      </c>
      <c r="E50" s="104">
        <v>1.8200000000000001E-2</v>
      </c>
      <c r="F50" s="103">
        <v>1</v>
      </c>
      <c r="G50" s="103">
        <v>4</v>
      </c>
      <c r="H50" s="103">
        <v>170</v>
      </c>
      <c r="I50" s="103">
        <v>192</v>
      </c>
      <c r="J50" s="103">
        <v>193.5</v>
      </c>
      <c r="K50" s="103">
        <v>173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0.5625</v>
      </c>
      <c r="D51" s="103">
        <v>97.8</v>
      </c>
      <c r="E51" s="103">
        <v>-2.7</v>
      </c>
      <c r="F51" s="103">
        <v>97.7</v>
      </c>
      <c r="G51" s="103">
        <v>98.1</v>
      </c>
      <c r="H51" s="105">
        <v>262</v>
      </c>
      <c r="I51" s="103">
        <v>98.5</v>
      </c>
      <c r="J51" s="103">
        <v>99.6</v>
      </c>
      <c r="K51" s="103">
        <v>110.5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633</v>
      </c>
      <c r="E52" s="104">
        <v>-2.69E-2</v>
      </c>
      <c r="F52" s="103">
        <v>4</v>
      </c>
      <c r="G52" s="103">
        <v>1</v>
      </c>
      <c r="H52" s="105">
        <v>213</v>
      </c>
      <c r="I52" s="103">
        <v>100.5</v>
      </c>
      <c r="J52" s="103">
        <v>96.4</v>
      </c>
      <c r="K52" s="103">
        <v>90.5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13.15</v>
      </c>
      <c r="E53" s="103">
        <v>-0.05</v>
      </c>
      <c r="F53" s="103">
        <v>13.05</v>
      </c>
      <c r="G53" s="103">
        <v>13.15</v>
      </c>
      <c r="H53" s="103">
        <v>4</v>
      </c>
      <c r="I53" s="103">
        <v>13.2</v>
      </c>
      <c r="J53" s="103">
        <v>13.2</v>
      </c>
      <c r="K53" s="103">
        <v>14.5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10</v>
      </c>
      <c r="E54" s="104">
        <v>-3.8E-3</v>
      </c>
      <c r="F54" s="103">
        <v>5</v>
      </c>
      <c r="G54" s="103">
        <v>2</v>
      </c>
      <c r="H54" s="103">
        <v>6</v>
      </c>
      <c r="I54" s="103">
        <v>13.2</v>
      </c>
      <c r="J54" s="103">
        <v>13.1</v>
      </c>
      <c r="K54" s="103">
        <v>11.9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0.60416666666666663</v>
      </c>
      <c r="D55" s="103">
        <v>49.45</v>
      </c>
      <c r="E55" s="103">
        <v>-3.65</v>
      </c>
      <c r="F55" s="103">
        <v>49.4</v>
      </c>
      <c r="G55" s="103">
        <v>49.45</v>
      </c>
      <c r="H55" s="105">
        <v>766</v>
      </c>
      <c r="I55" s="103">
        <v>51.8</v>
      </c>
      <c r="J55" s="103">
        <v>52</v>
      </c>
      <c r="K55" s="103">
        <v>58.4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1039</v>
      </c>
      <c r="E56" s="104">
        <v>-6.8699999999999997E-2</v>
      </c>
      <c r="F56" s="103">
        <v>25</v>
      </c>
      <c r="G56" s="103">
        <v>5</v>
      </c>
      <c r="H56" s="105">
        <v>257</v>
      </c>
      <c r="I56" s="103">
        <v>53.1</v>
      </c>
      <c r="J56" s="103">
        <v>49.05</v>
      </c>
      <c r="K56" s="103">
        <v>47.8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0.60416666666666663</v>
      </c>
      <c r="D57" s="103">
        <v>62.6</v>
      </c>
      <c r="E57" s="103">
        <v>-1.3</v>
      </c>
      <c r="F57" s="103">
        <v>62.2</v>
      </c>
      <c r="G57" s="103">
        <v>62.6</v>
      </c>
      <c r="H57" s="105">
        <v>84</v>
      </c>
      <c r="I57" s="103">
        <v>62.4</v>
      </c>
      <c r="J57" s="103">
        <v>63.3</v>
      </c>
      <c r="K57" s="103">
        <v>70.2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163</v>
      </c>
      <c r="E58" s="104">
        <v>-2.0299999999999999E-2</v>
      </c>
      <c r="F58" s="103">
        <v>8</v>
      </c>
      <c r="G58" s="103">
        <v>1</v>
      </c>
      <c r="H58" s="105">
        <v>74</v>
      </c>
      <c r="I58" s="103">
        <v>63.9</v>
      </c>
      <c r="J58" s="103">
        <v>61.1</v>
      </c>
      <c r="K58" s="103">
        <v>57.6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0.52464120370370371</v>
      </c>
      <c r="D59" s="103">
        <v>51.4</v>
      </c>
      <c r="E59" s="103">
        <v>-0.5</v>
      </c>
      <c r="F59" s="103">
        <v>50.4</v>
      </c>
      <c r="G59" s="103">
        <v>50.7</v>
      </c>
      <c r="H59" s="103">
        <v>8</v>
      </c>
      <c r="I59" s="103">
        <v>51</v>
      </c>
      <c r="J59" s="103">
        <v>51.9</v>
      </c>
      <c r="K59" s="103">
        <v>57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12</v>
      </c>
      <c r="E60" s="104">
        <v>-9.5999999999999992E-3</v>
      </c>
      <c r="F60" s="103">
        <v>1</v>
      </c>
      <c r="G60" s="103">
        <v>1</v>
      </c>
      <c r="H60" s="103">
        <v>4</v>
      </c>
      <c r="I60" s="103">
        <v>51.9</v>
      </c>
      <c r="J60" s="103">
        <v>50.4</v>
      </c>
      <c r="K60" s="103">
        <v>46.75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0.60969907407407409</v>
      </c>
      <c r="D61" s="103">
        <v>35.9</v>
      </c>
      <c r="E61" s="103" t="s">
        <v>14</v>
      </c>
      <c r="F61" s="103">
        <v>35.1</v>
      </c>
      <c r="G61" s="103">
        <v>35.9</v>
      </c>
      <c r="H61" s="103">
        <v>3</v>
      </c>
      <c r="I61" s="103">
        <v>35.75</v>
      </c>
      <c r="J61" s="103">
        <v>35.9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3</v>
      </c>
      <c r="E62" s="104" t="s">
        <v>14</v>
      </c>
      <c r="F62" s="105">
        <v>3000</v>
      </c>
      <c r="G62" s="105">
        <v>5734</v>
      </c>
      <c r="H62" s="103" t="s">
        <v>14</v>
      </c>
      <c r="I62" s="103">
        <v>35.9</v>
      </c>
      <c r="J62" s="103">
        <v>35.75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0.60416666666666663</v>
      </c>
      <c r="D63" s="103">
        <v>260</v>
      </c>
      <c r="E63" s="103">
        <v>-1.5</v>
      </c>
      <c r="F63" s="103">
        <v>260</v>
      </c>
      <c r="G63" s="103">
        <v>261</v>
      </c>
      <c r="H63" s="105">
        <v>1352</v>
      </c>
      <c r="I63" s="103">
        <v>260</v>
      </c>
      <c r="J63" s="103">
        <v>261</v>
      </c>
      <c r="K63" s="103">
        <v>287.5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2453</v>
      </c>
      <c r="E64" s="104">
        <v>-5.7000000000000002E-3</v>
      </c>
      <c r="F64" s="103">
        <v>16</v>
      </c>
      <c r="G64" s="103">
        <v>27</v>
      </c>
      <c r="H64" s="105">
        <v>702</v>
      </c>
      <c r="I64" s="103">
        <v>261.5</v>
      </c>
      <c r="J64" s="103">
        <v>257.5</v>
      </c>
      <c r="K64" s="103">
        <v>235.5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24.85</v>
      </c>
      <c r="E65" s="103">
        <v>-0.45</v>
      </c>
      <c r="F65" s="103">
        <v>24.8</v>
      </c>
      <c r="G65" s="103">
        <v>24.85</v>
      </c>
      <c r="H65" s="105">
        <v>2977</v>
      </c>
      <c r="I65" s="103">
        <v>24.85</v>
      </c>
      <c r="J65" s="103">
        <v>25.15</v>
      </c>
      <c r="K65" s="103">
        <v>27.8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6705</v>
      </c>
      <c r="E66" s="104">
        <v>-1.78E-2</v>
      </c>
      <c r="F66" s="103">
        <v>76</v>
      </c>
      <c r="G66" s="103">
        <v>49</v>
      </c>
      <c r="H66" s="105">
        <v>1962</v>
      </c>
      <c r="I66" s="103">
        <v>25.3</v>
      </c>
      <c r="J66" s="103">
        <v>24.45</v>
      </c>
      <c r="K66" s="103">
        <v>22.8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520</v>
      </c>
      <c r="E67" s="103">
        <v>-9</v>
      </c>
      <c r="F67" s="103">
        <v>519</v>
      </c>
      <c r="G67" s="103">
        <v>521</v>
      </c>
      <c r="H67" s="103">
        <v>169</v>
      </c>
      <c r="I67" s="103">
        <v>517</v>
      </c>
      <c r="J67" s="103">
        <v>527</v>
      </c>
      <c r="K67" s="103">
        <v>581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534</v>
      </c>
      <c r="E68" s="104">
        <v>-1.7000000000000001E-2</v>
      </c>
      <c r="F68" s="103">
        <v>8</v>
      </c>
      <c r="G68" s="103">
        <v>4</v>
      </c>
      <c r="H68" s="103">
        <v>289</v>
      </c>
      <c r="I68" s="103">
        <v>529</v>
      </c>
      <c r="J68" s="103">
        <v>517</v>
      </c>
      <c r="K68" s="103">
        <v>476.5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0.60416666666666663</v>
      </c>
      <c r="D69" s="103">
        <v>9.94</v>
      </c>
      <c r="E69" s="103">
        <v>-0.11</v>
      </c>
      <c r="F69" s="103">
        <v>9.9</v>
      </c>
      <c r="G69" s="103">
        <v>9.94</v>
      </c>
      <c r="H69" s="105">
        <v>89</v>
      </c>
      <c r="I69" s="103">
        <v>10</v>
      </c>
      <c r="J69" s="103">
        <v>10</v>
      </c>
      <c r="K69" s="103">
        <v>11.05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431</v>
      </c>
      <c r="E70" s="104">
        <v>-1.09E-2</v>
      </c>
      <c r="F70" s="103">
        <v>1</v>
      </c>
      <c r="G70" s="103">
        <v>2</v>
      </c>
      <c r="H70" s="105">
        <v>164</v>
      </c>
      <c r="I70" s="103">
        <v>10.050000000000001</v>
      </c>
      <c r="J70" s="103">
        <v>9.3699999999999992</v>
      </c>
      <c r="K70" s="103">
        <v>9.0500000000000007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0.60416666666666663</v>
      </c>
      <c r="D71" s="103">
        <v>210.5</v>
      </c>
      <c r="E71" s="103">
        <v>4.5</v>
      </c>
      <c r="F71" s="103">
        <v>210</v>
      </c>
      <c r="G71" s="103">
        <v>211</v>
      </c>
      <c r="H71" s="103">
        <v>412</v>
      </c>
      <c r="I71" s="103">
        <v>208</v>
      </c>
      <c r="J71" s="103">
        <v>211</v>
      </c>
      <c r="K71" s="103">
        <v>226.5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936</v>
      </c>
      <c r="E72" s="104">
        <v>2.18E-2</v>
      </c>
      <c r="F72" s="103">
        <v>7</v>
      </c>
      <c r="G72" s="103">
        <v>37</v>
      </c>
      <c r="H72" s="103">
        <v>477</v>
      </c>
      <c r="I72" s="103">
        <v>206</v>
      </c>
      <c r="J72" s="103">
        <v>204.5</v>
      </c>
      <c r="K72" s="103">
        <v>185.5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51.6</v>
      </c>
      <c r="E73" s="103">
        <v>-1.1000000000000001</v>
      </c>
      <c r="F73" s="103">
        <v>51.5</v>
      </c>
      <c r="G73" s="103">
        <v>51.7</v>
      </c>
      <c r="H73" s="103">
        <v>131</v>
      </c>
      <c r="I73" s="103">
        <v>51.5</v>
      </c>
      <c r="J73" s="103">
        <v>52.1</v>
      </c>
      <c r="K73" s="103">
        <v>57.9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214</v>
      </c>
      <c r="E74" s="104">
        <v>-2.0899999999999998E-2</v>
      </c>
      <c r="F74" s="103">
        <v>6</v>
      </c>
      <c r="G74" s="103">
        <v>1</v>
      </c>
      <c r="H74" s="103">
        <v>77</v>
      </c>
      <c r="I74" s="103">
        <v>52.7</v>
      </c>
      <c r="J74" s="103">
        <v>50.4</v>
      </c>
      <c r="K74" s="103">
        <v>47.45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101</v>
      </c>
      <c r="E75" s="103">
        <v>-2.5</v>
      </c>
      <c r="F75" s="103">
        <v>100.5</v>
      </c>
      <c r="G75" s="103">
        <v>101.5</v>
      </c>
      <c r="H75" s="103">
        <v>324</v>
      </c>
      <c r="I75" s="103">
        <v>101</v>
      </c>
      <c r="J75" s="103">
        <v>101</v>
      </c>
      <c r="K75" s="103">
        <v>113.5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563</v>
      </c>
      <c r="E76" s="104">
        <v>-2.4199999999999999E-2</v>
      </c>
      <c r="F76" s="103">
        <v>4</v>
      </c>
      <c r="G76" s="103">
        <v>17</v>
      </c>
      <c r="H76" s="105">
        <v>200</v>
      </c>
      <c r="I76" s="103">
        <v>103.5</v>
      </c>
      <c r="J76" s="103">
        <v>98.6</v>
      </c>
      <c r="K76" s="103">
        <v>93.2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0.5625</v>
      </c>
      <c r="D77" s="103">
        <v>239</v>
      </c>
      <c r="E77" s="103">
        <v>-1.5</v>
      </c>
      <c r="F77" s="103">
        <v>238.5</v>
      </c>
      <c r="G77" s="103">
        <v>239</v>
      </c>
      <c r="H77" s="105">
        <v>172</v>
      </c>
      <c r="I77" s="103">
        <v>237.5</v>
      </c>
      <c r="J77" s="103">
        <v>240</v>
      </c>
      <c r="K77" s="103">
        <v>264.5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321</v>
      </c>
      <c r="E78" s="104">
        <v>-6.1999999999999998E-3</v>
      </c>
      <c r="F78" s="103">
        <v>4</v>
      </c>
      <c r="G78" s="103">
        <v>3</v>
      </c>
      <c r="H78" s="105">
        <v>140</v>
      </c>
      <c r="I78" s="103">
        <v>240.5</v>
      </c>
      <c r="J78" s="103">
        <v>235</v>
      </c>
      <c r="K78" s="103">
        <v>216.5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0.53966435185185191</v>
      </c>
      <c r="D79" s="103">
        <v>64.5</v>
      </c>
      <c r="E79" s="103">
        <v>0.1</v>
      </c>
      <c r="F79" s="103">
        <v>64.2</v>
      </c>
      <c r="G79" s="103">
        <v>64.599999999999994</v>
      </c>
      <c r="H79" s="103">
        <v>4</v>
      </c>
      <c r="I79" s="103">
        <v>64.7</v>
      </c>
      <c r="J79" s="103">
        <v>64.7</v>
      </c>
      <c r="K79" s="103">
        <v>70.8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6</v>
      </c>
      <c r="E80" s="104">
        <v>1.6000000000000001E-3</v>
      </c>
      <c r="F80" s="103">
        <v>1</v>
      </c>
      <c r="G80" s="103">
        <v>1</v>
      </c>
      <c r="H80" s="103">
        <v>2</v>
      </c>
      <c r="I80" s="103">
        <v>64.400000000000006</v>
      </c>
      <c r="J80" s="103">
        <v>64.5</v>
      </c>
      <c r="K80" s="103">
        <v>58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204</v>
      </c>
      <c r="E81" s="103" t="s">
        <v>14</v>
      </c>
      <c r="F81" s="103">
        <v>203.5</v>
      </c>
      <c r="G81" s="103">
        <v>205</v>
      </c>
      <c r="H81" s="103">
        <v>5</v>
      </c>
      <c r="I81" s="103">
        <v>202</v>
      </c>
      <c r="J81" s="103">
        <v>204</v>
      </c>
      <c r="K81" s="103">
        <v>224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20</v>
      </c>
      <c r="E82" s="104" t="s">
        <v>14</v>
      </c>
      <c r="F82" s="103">
        <v>1</v>
      </c>
      <c r="G82" s="103">
        <v>3</v>
      </c>
      <c r="H82" s="103">
        <v>9</v>
      </c>
      <c r="I82" s="103">
        <v>204</v>
      </c>
      <c r="J82" s="103">
        <v>200</v>
      </c>
      <c r="K82" s="103">
        <v>184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0.5625</v>
      </c>
      <c r="D83" s="103">
        <v>67.900000000000006</v>
      </c>
      <c r="E83" s="103">
        <v>-0.5</v>
      </c>
      <c r="F83" s="103">
        <v>67.900000000000006</v>
      </c>
      <c r="G83" s="103">
        <v>68</v>
      </c>
      <c r="H83" s="105">
        <v>2532</v>
      </c>
      <c r="I83" s="103">
        <v>67.900000000000006</v>
      </c>
      <c r="J83" s="103">
        <v>68.900000000000006</v>
      </c>
      <c r="K83" s="103">
        <v>75.2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3617</v>
      </c>
      <c r="E84" s="104">
        <v>-7.3000000000000001E-3</v>
      </c>
      <c r="F84" s="103">
        <v>125</v>
      </c>
      <c r="G84" s="103">
        <v>1</v>
      </c>
      <c r="H84" s="105">
        <v>891</v>
      </c>
      <c r="I84" s="103">
        <v>68.400000000000006</v>
      </c>
      <c r="J84" s="103">
        <v>67.5</v>
      </c>
      <c r="K84" s="103">
        <v>61.6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50.7</v>
      </c>
      <c r="E85" s="103">
        <v>3.05</v>
      </c>
      <c r="F85" s="103">
        <v>50.7</v>
      </c>
      <c r="G85" s="103">
        <v>50.8</v>
      </c>
      <c r="H85" s="105">
        <v>2252</v>
      </c>
      <c r="I85" s="103">
        <v>47.45</v>
      </c>
      <c r="J85" s="103">
        <v>50.8</v>
      </c>
      <c r="K85" s="103">
        <v>52.4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4649</v>
      </c>
      <c r="E86" s="104">
        <v>6.4000000000000001E-2</v>
      </c>
      <c r="F86" s="103">
        <v>11</v>
      </c>
      <c r="G86" s="103">
        <v>108</v>
      </c>
      <c r="H86" s="105">
        <v>2333</v>
      </c>
      <c r="I86" s="103">
        <v>47.65</v>
      </c>
      <c r="J86" s="103">
        <v>45.85</v>
      </c>
      <c r="K86" s="103">
        <v>42.9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46.95</v>
      </c>
      <c r="E87" s="103">
        <v>-1.55</v>
      </c>
      <c r="F87" s="103">
        <v>46.9</v>
      </c>
      <c r="G87" s="103">
        <v>46.95</v>
      </c>
      <c r="H87" s="105">
        <v>670</v>
      </c>
      <c r="I87" s="103">
        <v>47.6</v>
      </c>
      <c r="J87" s="103">
        <v>47.6</v>
      </c>
      <c r="K87" s="103">
        <v>53.3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1706</v>
      </c>
      <c r="E88" s="104">
        <v>-3.2000000000000001E-2</v>
      </c>
      <c r="F88" s="105">
        <v>13</v>
      </c>
      <c r="G88" s="103">
        <v>2</v>
      </c>
      <c r="H88" s="105">
        <v>627</v>
      </c>
      <c r="I88" s="103">
        <v>48.5</v>
      </c>
      <c r="J88" s="103">
        <v>45.8</v>
      </c>
      <c r="K88" s="103">
        <v>43.65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380.5</v>
      </c>
      <c r="E89" s="103">
        <v>-6.5</v>
      </c>
      <c r="F89" s="103">
        <v>380.5</v>
      </c>
      <c r="G89" s="103">
        <v>381.5</v>
      </c>
      <c r="H89" s="103">
        <v>334</v>
      </c>
      <c r="I89" s="103">
        <v>380</v>
      </c>
      <c r="J89" s="103">
        <v>383</v>
      </c>
      <c r="K89" s="103">
        <v>425.5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609</v>
      </c>
      <c r="E90" s="104">
        <v>-1.6799999999999999E-2</v>
      </c>
      <c r="F90" s="103">
        <v>7</v>
      </c>
      <c r="G90" s="103">
        <v>5</v>
      </c>
      <c r="H90" s="105">
        <v>256</v>
      </c>
      <c r="I90" s="103">
        <v>387</v>
      </c>
      <c r="J90" s="103">
        <v>371</v>
      </c>
      <c r="K90" s="103">
        <v>348.5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740</v>
      </c>
      <c r="E91" s="103">
        <v>-32</v>
      </c>
      <c r="F91" s="103">
        <v>739</v>
      </c>
      <c r="G91" s="103">
        <v>741</v>
      </c>
      <c r="H91" s="103">
        <v>52</v>
      </c>
      <c r="I91" s="103">
        <v>751</v>
      </c>
      <c r="J91" s="103">
        <v>756</v>
      </c>
      <c r="K91" s="103">
        <v>849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213</v>
      </c>
      <c r="E92" s="104">
        <v>-4.1500000000000002E-2</v>
      </c>
      <c r="F92" s="103">
        <v>1</v>
      </c>
      <c r="G92" s="103">
        <v>2</v>
      </c>
      <c r="H92" s="103">
        <v>83</v>
      </c>
      <c r="I92" s="103">
        <v>772</v>
      </c>
      <c r="J92" s="103">
        <v>717</v>
      </c>
      <c r="K92" s="103">
        <v>695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9.8000000000000004E-2</v>
      </c>
      <c r="G94" s="86">
        <f>F94-M94</f>
        <v>3.0000000000000027E-3</v>
      </c>
      <c r="H94" s="87">
        <f>F94/M94-1</f>
        <v>3.1578947368421151E-2</v>
      </c>
      <c r="I94" s="98">
        <v>4177</v>
      </c>
      <c r="J94" s="100">
        <v>9.7000000000000003E-2</v>
      </c>
      <c r="K94" s="100">
        <v>0.1</v>
      </c>
      <c r="L94" s="100">
        <v>9.1999999999999998E-2</v>
      </c>
      <c r="M94" s="88">
        <v>9.5000000000000001E-2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0.32</v>
      </c>
      <c r="G95" s="86">
        <f>F95-M95</f>
        <v>2.5000000000000022E-2</v>
      </c>
      <c r="H95" s="87">
        <f>F95/M95-1</f>
        <v>8.4745762711864403E-2</v>
      </c>
      <c r="I95" s="98">
        <v>727</v>
      </c>
      <c r="J95" s="100">
        <v>0.32</v>
      </c>
      <c r="K95" s="100">
        <v>0.32</v>
      </c>
      <c r="L95" s="100">
        <v>0.29499999999999998</v>
      </c>
      <c r="M95" s="88">
        <v>0.29499999999999998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9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45728.772930555555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22278.36</v>
      </c>
      <c r="E6" s="94">
        <v>22071.09</v>
      </c>
      <c r="F6" s="33">
        <f>(D6-E6)/E6</f>
        <v>9.3910178427979961E-3</v>
      </c>
      <c r="G6" s="34"/>
      <c r="H6" s="91">
        <f>ROUND(350646223635/100000000,2)</f>
        <v>3506.46</v>
      </c>
      <c r="I6" s="91">
        <v>4289.33</v>
      </c>
      <c r="J6" s="35">
        <f>+H6-I6</f>
        <v>-782.86999999999989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23600.31</v>
      </c>
      <c r="E8" s="90">
        <v>23782.14</v>
      </c>
      <c r="F8" s="33">
        <f>(D8-E8)/E8</f>
        <v>-7.6456534189100773E-3</v>
      </c>
      <c r="G8" s="34"/>
      <c r="H8" s="91">
        <v>2784.92</v>
      </c>
      <c r="I8" s="91">
        <v>3070.34</v>
      </c>
      <c r="J8" s="35">
        <f>+H8-I8</f>
        <v>-285.42000000000007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今日收盤3/12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51.8</v>
      </c>
      <c r="E13" s="60">
        <f>I60</f>
        <v>51.4</v>
      </c>
      <c r="F13" s="61">
        <f>D13-E13</f>
        <v>0.39999999999999858</v>
      </c>
      <c r="G13" s="62">
        <f>F13/E13</f>
        <v>7.7821011673151474E-3</v>
      </c>
      <c r="H13" s="63">
        <f>I59</f>
        <v>51.4</v>
      </c>
      <c r="I13" s="60">
        <f>J60</f>
        <v>51.4</v>
      </c>
      <c r="J13" s="60">
        <f>J59</f>
        <v>51.8</v>
      </c>
      <c r="K13" s="64">
        <f>D60</f>
        <v>10</v>
      </c>
      <c r="L13" s="64">
        <f>+O13*D13</f>
        <v>2454.7838700000002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260.5</v>
      </c>
      <c r="E14" s="60">
        <f>I64</f>
        <v>260</v>
      </c>
      <c r="F14" s="61">
        <f t="shared" ref="F14:F30" si="0">D14-E14</f>
        <v>0.5</v>
      </c>
      <c r="G14" s="62">
        <f>F14/E14</f>
        <v>1.9230769230769232E-3</v>
      </c>
      <c r="H14" s="63">
        <f>I63</f>
        <v>261</v>
      </c>
      <c r="I14" s="60">
        <f>J64</f>
        <v>260.5</v>
      </c>
      <c r="J14" s="60">
        <f>J63</f>
        <v>262.5</v>
      </c>
      <c r="K14" s="73">
        <f>D64</f>
        <v>1729</v>
      </c>
      <c r="L14" s="64">
        <f>+O14*D14</f>
        <v>270821.53100000002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208</v>
      </c>
      <c r="E15" s="71">
        <f>$I$50</f>
        <v>195.5</v>
      </c>
      <c r="F15" s="61">
        <f>D15-E15</f>
        <v>12.5</v>
      </c>
      <c r="G15" s="62">
        <f>F15/E15</f>
        <v>6.3938618925831206E-2</v>
      </c>
      <c r="H15" s="72">
        <f>$I$49</f>
        <v>197.5</v>
      </c>
      <c r="I15" s="60">
        <f>J50</f>
        <v>196.5</v>
      </c>
      <c r="J15" s="71">
        <f>$J$49</f>
        <v>211.5</v>
      </c>
      <c r="K15" s="73">
        <f>$D$50</f>
        <v>979</v>
      </c>
      <c r="L15" s="64">
        <f>D15*O15</f>
        <v>46429.760000000002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39.9</v>
      </c>
      <c r="E16" s="71">
        <f>I48</f>
        <v>40.15</v>
      </c>
      <c r="F16" s="61">
        <f>D16-E16</f>
        <v>-0.25</v>
      </c>
      <c r="G16" s="62">
        <f>F16/E16</f>
        <v>-6.2266500622665012E-3</v>
      </c>
      <c r="H16" s="72">
        <f>I47</f>
        <v>40.25</v>
      </c>
      <c r="I16" s="60">
        <f>J48</f>
        <v>39.9</v>
      </c>
      <c r="J16" s="71">
        <f>J47</f>
        <v>40.25</v>
      </c>
      <c r="K16" s="73">
        <f>D48</f>
        <v>14</v>
      </c>
      <c r="L16" s="64">
        <f>D16*O16</f>
        <v>2693.25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24.9</v>
      </c>
      <c r="E17" s="60">
        <f>I66</f>
        <v>24.85</v>
      </c>
      <c r="F17" s="61">
        <f t="shared" si="0"/>
        <v>4.9999999999997158E-2</v>
      </c>
      <c r="G17" s="62">
        <f t="shared" ref="G17:G22" si="1">F17/E17</f>
        <v>2.0120724346075316E-3</v>
      </c>
      <c r="H17" s="63">
        <f>I65</f>
        <v>24.85</v>
      </c>
      <c r="I17" s="60">
        <f>J66</f>
        <v>24.85</v>
      </c>
      <c r="J17" s="60">
        <f>J65</f>
        <v>25.1</v>
      </c>
      <c r="K17" s="64">
        <f>D66</f>
        <v>2384</v>
      </c>
      <c r="L17" s="64">
        <f>+O17*D17</f>
        <v>35281.830900000001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513</v>
      </c>
      <c r="E18" s="60">
        <f>I68</f>
        <v>520</v>
      </c>
      <c r="F18" s="61">
        <f t="shared" si="0"/>
        <v>-7</v>
      </c>
      <c r="G18" s="62">
        <f t="shared" si="1"/>
        <v>-1.3461538461538462E-2</v>
      </c>
      <c r="H18" s="63">
        <f>I67</f>
        <v>520</v>
      </c>
      <c r="I18" s="60">
        <f>J68</f>
        <v>512</v>
      </c>
      <c r="J18" s="60">
        <f>J67</f>
        <v>522</v>
      </c>
      <c r="K18" s="64">
        <f>D68</f>
        <v>383</v>
      </c>
      <c r="L18" s="64">
        <f>+O18*D18</f>
        <v>53832.168000000005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9.91</v>
      </c>
      <c r="E19" s="60">
        <f>I70</f>
        <v>9.94</v>
      </c>
      <c r="F19" s="61">
        <f t="shared" si="0"/>
        <v>-2.9999999999999361E-2</v>
      </c>
      <c r="G19" s="62">
        <f>F19/E19</f>
        <v>-3.0181086519114044E-3</v>
      </c>
      <c r="H19" s="63">
        <f>I69</f>
        <v>9.99</v>
      </c>
      <c r="I19" s="60">
        <f>J70</f>
        <v>9.86</v>
      </c>
      <c r="J19" s="60">
        <f>J69</f>
        <v>10.050000000000001</v>
      </c>
      <c r="K19" s="64">
        <f>D70</f>
        <v>344</v>
      </c>
      <c r="L19" s="64">
        <f>+O19*D19</f>
        <v>1937.7122100000001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35.799999999999997</v>
      </c>
      <c r="E20" s="60">
        <f>I62</f>
        <v>35.76</v>
      </c>
      <c r="F20" s="61">
        <f>D20-E20</f>
        <v>3.9999999999999147E-2</v>
      </c>
      <c r="G20" s="62">
        <f>F20/E20</f>
        <v>1.1185682326621685E-3</v>
      </c>
      <c r="H20" s="63">
        <f>I61</f>
        <v>35</v>
      </c>
      <c r="I20" s="60">
        <f>J62</f>
        <v>35</v>
      </c>
      <c r="J20" s="60">
        <f>J61</f>
        <v>35.799999999999997</v>
      </c>
      <c r="K20" s="64">
        <f>D62</f>
        <v>4</v>
      </c>
      <c r="L20" s="64">
        <f>O20*D20</f>
        <v>2148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214.5</v>
      </c>
      <c r="E21" s="60">
        <f>I72</f>
        <v>210.5</v>
      </c>
      <c r="F21" s="61">
        <f t="shared" si="0"/>
        <v>4</v>
      </c>
      <c r="G21" s="62">
        <f t="shared" si="1"/>
        <v>1.9002375296912115E-2</v>
      </c>
      <c r="H21" s="63">
        <f>I71</f>
        <v>212</v>
      </c>
      <c r="I21" s="60">
        <f>J72</f>
        <v>210.5</v>
      </c>
      <c r="J21" s="60">
        <f>J71</f>
        <v>215</v>
      </c>
      <c r="K21" s="64">
        <f>D72</f>
        <v>787</v>
      </c>
      <c r="L21" s="64">
        <f t="shared" ref="L21:L28" si="2">+O21*D21</f>
        <v>27327.943500000001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51.8</v>
      </c>
      <c r="E22" s="60">
        <f>I74</f>
        <v>51.6</v>
      </c>
      <c r="F22" s="61">
        <f t="shared" si="0"/>
        <v>0.19999999999999574</v>
      </c>
      <c r="G22" s="62">
        <f t="shared" si="1"/>
        <v>3.8759689922479791E-3</v>
      </c>
      <c r="H22" s="63">
        <f>I73</f>
        <v>51.6</v>
      </c>
      <c r="I22" s="60">
        <f>J74</f>
        <v>51.4</v>
      </c>
      <c r="J22" s="60">
        <f>J73</f>
        <v>51.8</v>
      </c>
      <c r="K22" s="64">
        <f>D74</f>
        <v>73</v>
      </c>
      <c r="L22" s="64">
        <f t="shared" si="2"/>
        <v>19006.577367400001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49.1</v>
      </c>
      <c r="E23" s="60">
        <f>I56</f>
        <v>49.45</v>
      </c>
      <c r="F23" s="61">
        <f>D23-E23</f>
        <v>-0.35000000000000142</v>
      </c>
      <c r="G23" s="62">
        <f>F23/E23</f>
        <v>-7.0778564206269243E-3</v>
      </c>
      <c r="H23" s="63">
        <f>I55</f>
        <v>49.35</v>
      </c>
      <c r="I23" s="60">
        <f>J56</f>
        <v>48.2</v>
      </c>
      <c r="J23" s="60">
        <f>J55</f>
        <v>49.6</v>
      </c>
      <c r="K23" s="64">
        <f>D56</f>
        <v>456</v>
      </c>
      <c r="L23" s="64">
        <f t="shared" si="2"/>
        <v>4493.9265999999998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61.4</v>
      </c>
      <c r="E24" s="60">
        <f>I58</f>
        <v>62.6</v>
      </c>
      <c r="F24" s="68">
        <f t="shared" si="0"/>
        <v>-1.2000000000000028</v>
      </c>
      <c r="G24" s="69">
        <f>F24/E24</f>
        <v>-1.9169329073482472E-2</v>
      </c>
      <c r="H24" s="63">
        <f>I57</f>
        <v>62.4</v>
      </c>
      <c r="I24" s="60">
        <f>J58</f>
        <v>61.3</v>
      </c>
      <c r="J24" s="60">
        <f>J57</f>
        <v>62.5</v>
      </c>
      <c r="K24" s="64">
        <f>D58</f>
        <v>223</v>
      </c>
      <c r="L24" s="64">
        <f t="shared" si="2"/>
        <v>6494.8305999999993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101.5</v>
      </c>
      <c r="E25" s="71">
        <f>I76</f>
        <v>101</v>
      </c>
      <c r="F25" s="68">
        <f t="shared" si="0"/>
        <v>0.5</v>
      </c>
      <c r="G25" s="69">
        <f t="shared" ref="G25:G31" si="3">F25/E25</f>
        <v>4.9504950495049506E-3</v>
      </c>
      <c r="H25" s="72">
        <f>I75</f>
        <v>101</v>
      </c>
      <c r="I25" s="60">
        <f>J76</f>
        <v>100</v>
      </c>
      <c r="J25" s="71">
        <f>J75</f>
        <v>102</v>
      </c>
      <c r="K25" s="73">
        <f>D76</f>
        <v>175</v>
      </c>
      <c r="L25" s="64">
        <f t="shared" si="2"/>
        <v>18270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240.5</v>
      </c>
      <c r="E26" s="71">
        <f>I78</f>
        <v>239</v>
      </c>
      <c r="F26" s="68">
        <f t="shared" si="0"/>
        <v>1.5</v>
      </c>
      <c r="G26" s="69">
        <f t="shared" si="3"/>
        <v>6.2761506276150627E-3</v>
      </c>
      <c r="H26" s="72">
        <f>I77</f>
        <v>240</v>
      </c>
      <c r="I26" s="71">
        <f>J78</f>
        <v>239</v>
      </c>
      <c r="J26" s="71">
        <f>J77</f>
        <v>241</v>
      </c>
      <c r="K26" s="73">
        <f>D78</f>
        <v>201</v>
      </c>
      <c r="L26" s="64">
        <f t="shared" si="2"/>
        <v>20310.465499999998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64.7</v>
      </c>
      <c r="E27" s="71">
        <f>I80</f>
        <v>64.5</v>
      </c>
      <c r="F27" s="68">
        <f>D27-E27</f>
        <v>0.20000000000000284</v>
      </c>
      <c r="G27" s="69">
        <f>F27/E27</f>
        <v>3.1007751937984938E-3</v>
      </c>
      <c r="H27" s="72">
        <f>I79</f>
        <v>64.7</v>
      </c>
      <c r="I27" s="71">
        <f>J80</f>
        <v>64.3</v>
      </c>
      <c r="J27" s="71">
        <f>J79</f>
        <v>64.7</v>
      </c>
      <c r="K27" s="73">
        <f>D80</f>
        <v>6</v>
      </c>
      <c r="L27" s="64">
        <f t="shared" si="2"/>
        <v>2095.6006499999999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204</v>
      </c>
      <c r="E28" s="71">
        <f>I82</f>
        <v>204</v>
      </c>
      <c r="F28" s="68">
        <f t="shared" si="0"/>
        <v>0</v>
      </c>
      <c r="G28" s="69">
        <f t="shared" si="3"/>
        <v>0</v>
      </c>
      <c r="H28" s="72">
        <f>I81</f>
        <v>203</v>
      </c>
      <c r="I28" s="71">
        <f>J82</f>
        <v>203</v>
      </c>
      <c r="J28" s="71">
        <f>J81</f>
        <v>204</v>
      </c>
      <c r="K28" s="73">
        <f>D82</f>
        <v>7</v>
      </c>
      <c r="L28" s="64">
        <f t="shared" si="2"/>
        <v>8058.2039999999997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117</v>
      </c>
      <c r="E29" s="71">
        <f>I46</f>
        <v>117.48</v>
      </c>
      <c r="F29" s="68">
        <f>D29-E29</f>
        <v>-0.48000000000000398</v>
      </c>
      <c r="G29" s="69">
        <f>F29/E29</f>
        <v>-4.0858018386108613E-3</v>
      </c>
      <c r="H29" s="72">
        <f>I45</f>
        <v>119</v>
      </c>
      <c r="I29" s="71">
        <f>J46</f>
        <v>114.5</v>
      </c>
      <c r="J29" s="71">
        <f>J45</f>
        <v>119</v>
      </c>
      <c r="K29" s="73">
        <f>D46</f>
        <v>31</v>
      </c>
      <c r="L29" s="64">
        <f>+D29*O29</f>
        <v>2396.8761570000001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46.2</v>
      </c>
      <c r="E30" s="71">
        <f>I88</f>
        <v>46.95</v>
      </c>
      <c r="F30" s="68">
        <f t="shared" si="0"/>
        <v>-0.75</v>
      </c>
      <c r="G30" s="69">
        <f t="shared" si="3"/>
        <v>-1.5974440894568689E-2</v>
      </c>
      <c r="H30" s="72">
        <f>I87</f>
        <v>47.05</v>
      </c>
      <c r="I30" s="71">
        <f>J88</f>
        <v>46.05</v>
      </c>
      <c r="J30" s="71">
        <f>J87</f>
        <v>47.2</v>
      </c>
      <c r="K30" s="73">
        <f>D88</f>
        <v>1184</v>
      </c>
      <c r="L30" s="64">
        <f>D30*O30</f>
        <v>9500.8914000000004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51.4</v>
      </c>
      <c r="E31" s="71">
        <f>I86</f>
        <v>50.7</v>
      </c>
      <c r="F31" s="68">
        <f>D31-E31</f>
        <v>0.69999999999999574</v>
      </c>
      <c r="G31" s="69">
        <f t="shared" si="3"/>
        <v>1.3806706114398336E-2</v>
      </c>
      <c r="H31" s="72">
        <f>I85</f>
        <v>51.4</v>
      </c>
      <c r="I31" s="71">
        <f>J86</f>
        <v>51</v>
      </c>
      <c r="J31" s="71">
        <f>J85</f>
        <v>52.3</v>
      </c>
      <c r="K31" s="73">
        <f>D86</f>
        <v>5867</v>
      </c>
      <c r="L31" s="64">
        <f>+O31*D31</f>
        <v>32498.318200000002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372</v>
      </c>
      <c r="E32" s="71">
        <f>I90</f>
        <v>380.5</v>
      </c>
      <c r="F32" s="68">
        <f>D32-E32</f>
        <v>-8.5</v>
      </c>
      <c r="G32" s="69">
        <f>F32/E32</f>
        <v>-2.2339027595269383E-2</v>
      </c>
      <c r="H32" s="72">
        <f>I89</f>
        <v>380.5</v>
      </c>
      <c r="I32" s="71">
        <f>J90</f>
        <v>372</v>
      </c>
      <c r="J32" s="71">
        <f>J89</f>
        <v>380.5</v>
      </c>
      <c r="K32" s="73">
        <f>D90</f>
        <v>623</v>
      </c>
      <c r="L32" s="64">
        <f>+O32*D32</f>
        <v>93876.804000000004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13.45</v>
      </c>
      <c r="E33" s="71">
        <f>I54</f>
        <v>13.15</v>
      </c>
      <c r="F33" s="68">
        <f>D33-E33</f>
        <v>0.29999999999999893</v>
      </c>
      <c r="G33" s="69">
        <f>F33/E33</f>
        <v>2.2813688212927674E-2</v>
      </c>
      <c r="H33" s="72">
        <f>I53</f>
        <v>13.4</v>
      </c>
      <c r="I33" s="71">
        <f>J54</f>
        <v>13.3</v>
      </c>
      <c r="J33" s="71">
        <f>J53</f>
        <v>13.7</v>
      </c>
      <c r="K33" s="73">
        <f>D54</f>
        <v>58</v>
      </c>
      <c r="L33" s="64">
        <f>+O33*D33</f>
        <v>863.09995000000004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98.6</v>
      </c>
      <c r="E34" s="71">
        <f>$I$52</f>
        <v>97.8</v>
      </c>
      <c r="F34" s="68">
        <f>D34-E34</f>
        <v>0.79999999999999716</v>
      </c>
      <c r="G34" s="69">
        <f>F34/E34</f>
        <v>8.1799591002044703E-3</v>
      </c>
      <c r="H34" s="72">
        <f>$I$51</f>
        <v>98.1</v>
      </c>
      <c r="I34" s="71">
        <f>J52</f>
        <v>98.1</v>
      </c>
      <c r="J34" s="71">
        <f>$J$51</f>
        <v>100.5</v>
      </c>
      <c r="K34" s="73">
        <f>$D$52</f>
        <v>457</v>
      </c>
      <c r="L34" s="64">
        <f>+O34*D34</f>
        <v>11888.9908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725</v>
      </c>
      <c r="E35" s="71">
        <f>I92</f>
        <v>740</v>
      </c>
      <c r="F35" s="68">
        <f>D35-E35</f>
        <v>-15</v>
      </c>
      <c r="G35" s="69">
        <f>F35/E35</f>
        <v>-2.0270270270270271E-2</v>
      </c>
      <c r="H35" s="72">
        <f>I91</f>
        <v>738</v>
      </c>
      <c r="I35" s="71">
        <f>J92</f>
        <v>721</v>
      </c>
      <c r="J35" s="71">
        <f>J91</f>
        <v>753</v>
      </c>
      <c r="K35" s="73">
        <f>D92</f>
        <v>129</v>
      </c>
      <c r="L35" s="64">
        <f>+O35*D35</f>
        <v>49300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9.8000000000000004E-2</v>
      </c>
      <c r="E38" s="60">
        <f>M94</f>
        <v>9.8000000000000004E-2</v>
      </c>
      <c r="F38" s="61">
        <f>D38-E38</f>
        <v>0</v>
      </c>
      <c r="G38" s="62">
        <f>F38/E38</f>
        <v>0</v>
      </c>
      <c r="H38" s="63">
        <f>J94</f>
        <v>0.1</v>
      </c>
      <c r="I38" s="60">
        <f>L94</f>
        <v>9.5000000000000001E-2</v>
      </c>
      <c r="J38" s="60">
        <f>K94</f>
        <v>0.1</v>
      </c>
      <c r="K38" s="64">
        <f>I94</f>
        <v>229</v>
      </c>
      <c r="L38" s="64">
        <f>+O38*D38</f>
        <v>258.18413600000002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0.315</v>
      </c>
      <c r="E39" s="60">
        <f>M95</f>
        <v>0.32</v>
      </c>
      <c r="F39" s="61">
        <f>D39-E39</f>
        <v>-5.0000000000000044E-3</v>
      </c>
      <c r="G39" s="77">
        <f>F39/E39</f>
        <v>-1.5625000000000014E-2</v>
      </c>
      <c r="H39" s="63">
        <f>J95</f>
        <v>0.32500000000000001</v>
      </c>
      <c r="I39" s="60">
        <f>L95</f>
        <v>0.30499999999999999</v>
      </c>
      <c r="J39" s="60">
        <f>K95</f>
        <v>0.33500000000000002</v>
      </c>
      <c r="K39" s="64">
        <f>I95</f>
        <v>822</v>
      </c>
      <c r="L39" s="64">
        <f>+O39*D39</f>
        <v>531.13567499999999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0.6166666666666667</v>
      </c>
      <c r="D45" s="103">
        <v>117</v>
      </c>
      <c r="E45" s="103">
        <v>-0.48</v>
      </c>
      <c r="F45" s="103">
        <v>114.5</v>
      </c>
      <c r="G45" s="103">
        <v>117</v>
      </c>
      <c r="H45" s="103">
        <v>12</v>
      </c>
      <c r="I45" s="103">
        <v>119</v>
      </c>
      <c r="J45" s="103">
        <v>119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31</v>
      </c>
      <c r="E46" s="104">
        <v>-4.1000000000000003E-3</v>
      </c>
      <c r="F46" s="105">
        <v>3840</v>
      </c>
      <c r="G46" s="105">
        <v>4953</v>
      </c>
      <c r="H46" s="103">
        <v>7</v>
      </c>
      <c r="I46" s="103">
        <v>117.48</v>
      </c>
      <c r="J46" s="103">
        <v>114.5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0.5625</v>
      </c>
      <c r="D47" s="103">
        <v>39.9</v>
      </c>
      <c r="E47" s="103">
        <v>-0.25</v>
      </c>
      <c r="F47" s="103">
        <v>39.799999999999997</v>
      </c>
      <c r="G47" s="103">
        <v>40.200000000000003</v>
      </c>
      <c r="H47" s="103">
        <v>12</v>
      </c>
      <c r="I47" s="103">
        <v>40.25</v>
      </c>
      <c r="J47" s="103">
        <v>40.25</v>
      </c>
      <c r="K47" s="103">
        <v>44.15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14</v>
      </c>
      <c r="E48" s="104">
        <v>-6.1999999999999998E-3</v>
      </c>
      <c r="F48" s="103">
        <v>4</v>
      </c>
      <c r="G48" s="103">
        <v>3</v>
      </c>
      <c r="H48" s="103">
        <v>2</v>
      </c>
      <c r="I48" s="103">
        <v>40.15</v>
      </c>
      <c r="J48" s="103">
        <v>39.9</v>
      </c>
      <c r="K48" s="103">
        <v>36.15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0.60416666666666663</v>
      </c>
      <c r="D49" s="103">
        <v>208</v>
      </c>
      <c r="E49" s="103">
        <v>12.5</v>
      </c>
      <c r="F49" s="103">
        <v>208</v>
      </c>
      <c r="G49" s="103">
        <v>208.5</v>
      </c>
      <c r="H49" s="103">
        <v>326</v>
      </c>
      <c r="I49" s="103">
        <v>197.5</v>
      </c>
      <c r="J49" s="103">
        <v>211.5</v>
      </c>
      <c r="K49" s="103">
        <v>215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979</v>
      </c>
      <c r="E50" s="104">
        <v>6.3899999999999998E-2</v>
      </c>
      <c r="F50" s="103">
        <v>4</v>
      </c>
      <c r="G50" s="103">
        <v>17</v>
      </c>
      <c r="H50" s="103">
        <v>647</v>
      </c>
      <c r="I50" s="103">
        <v>195.5</v>
      </c>
      <c r="J50" s="103">
        <v>196.5</v>
      </c>
      <c r="K50" s="103">
        <v>176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0.5625</v>
      </c>
      <c r="D51" s="103">
        <v>98.6</v>
      </c>
      <c r="E51" s="103">
        <v>0.8</v>
      </c>
      <c r="F51" s="103">
        <v>98.6</v>
      </c>
      <c r="G51" s="103">
        <v>98.8</v>
      </c>
      <c r="H51" s="105">
        <v>287</v>
      </c>
      <c r="I51" s="103">
        <v>98.1</v>
      </c>
      <c r="J51" s="103">
        <v>100.5</v>
      </c>
      <c r="K51" s="103">
        <v>107.5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457</v>
      </c>
      <c r="E52" s="104">
        <v>8.2000000000000007E-3</v>
      </c>
      <c r="F52" s="103">
        <v>1</v>
      </c>
      <c r="G52" s="103">
        <v>5</v>
      </c>
      <c r="H52" s="105">
        <v>161</v>
      </c>
      <c r="I52" s="103">
        <v>97.8</v>
      </c>
      <c r="J52" s="103">
        <v>98.1</v>
      </c>
      <c r="K52" s="103">
        <v>88.1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13.45</v>
      </c>
      <c r="E53" s="103">
        <v>0.3</v>
      </c>
      <c r="F53" s="103">
        <v>13.4</v>
      </c>
      <c r="G53" s="103">
        <v>13.5</v>
      </c>
      <c r="H53" s="103">
        <v>8</v>
      </c>
      <c r="I53" s="103">
        <v>13.4</v>
      </c>
      <c r="J53" s="103">
        <v>13.7</v>
      </c>
      <c r="K53" s="103">
        <v>14.45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58</v>
      </c>
      <c r="E54" s="104">
        <v>2.2800000000000001E-2</v>
      </c>
      <c r="F54" s="103">
        <v>2</v>
      </c>
      <c r="G54" s="103">
        <v>1</v>
      </c>
      <c r="H54" s="103">
        <v>45</v>
      </c>
      <c r="I54" s="103">
        <v>13.15</v>
      </c>
      <c r="J54" s="103">
        <v>13.3</v>
      </c>
      <c r="K54" s="103">
        <v>11.85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49.1</v>
      </c>
      <c r="E55" s="103">
        <v>-0.35</v>
      </c>
      <c r="F55" s="103">
        <v>49.1</v>
      </c>
      <c r="G55" s="103">
        <v>49.15</v>
      </c>
      <c r="H55" s="105">
        <v>318</v>
      </c>
      <c r="I55" s="103">
        <v>49.35</v>
      </c>
      <c r="J55" s="103">
        <v>49.6</v>
      </c>
      <c r="K55" s="103">
        <v>54.3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456</v>
      </c>
      <c r="E56" s="104">
        <v>-7.1000000000000004E-3</v>
      </c>
      <c r="F56" s="103">
        <v>4</v>
      </c>
      <c r="G56" s="103">
        <v>2</v>
      </c>
      <c r="H56" s="105">
        <v>135</v>
      </c>
      <c r="I56" s="103">
        <v>49.45</v>
      </c>
      <c r="J56" s="103">
        <v>48.2</v>
      </c>
      <c r="K56" s="103">
        <v>44.55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0.5625</v>
      </c>
      <c r="D57" s="103">
        <v>61.4</v>
      </c>
      <c r="E57" s="103">
        <v>-1.2</v>
      </c>
      <c r="F57" s="103">
        <v>61.4</v>
      </c>
      <c r="G57" s="103">
        <v>61.7</v>
      </c>
      <c r="H57" s="105">
        <v>156</v>
      </c>
      <c r="I57" s="103">
        <v>62.4</v>
      </c>
      <c r="J57" s="103">
        <v>62.5</v>
      </c>
      <c r="K57" s="103">
        <v>68.8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223</v>
      </c>
      <c r="E58" s="104">
        <v>-1.9199999999999998E-2</v>
      </c>
      <c r="F58" s="103">
        <v>1</v>
      </c>
      <c r="G58" s="103">
        <v>1</v>
      </c>
      <c r="H58" s="105">
        <v>67</v>
      </c>
      <c r="I58" s="103">
        <v>62.6</v>
      </c>
      <c r="J58" s="103">
        <v>61.3</v>
      </c>
      <c r="K58" s="103">
        <v>56.4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0.5625</v>
      </c>
      <c r="D59" s="103">
        <v>51.8</v>
      </c>
      <c r="E59" s="103">
        <v>0.4</v>
      </c>
      <c r="F59" s="103">
        <v>51.4</v>
      </c>
      <c r="G59" s="103">
        <v>51.9</v>
      </c>
      <c r="H59" s="103" t="s">
        <v>14</v>
      </c>
      <c r="I59" s="103">
        <v>51.4</v>
      </c>
      <c r="J59" s="103">
        <v>51.8</v>
      </c>
      <c r="K59" s="103">
        <v>56.5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10</v>
      </c>
      <c r="E60" s="104">
        <v>7.7999999999999996E-3</v>
      </c>
      <c r="F60" s="103">
        <v>1</v>
      </c>
      <c r="G60" s="103">
        <v>1</v>
      </c>
      <c r="H60" s="103">
        <v>10</v>
      </c>
      <c r="I60" s="103">
        <v>51.4</v>
      </c>
      <c r="J60" s="103">
        <v>51.4</v>
      </c>
      <c r="K60" s="103">
        <v>46.3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0.5843518518518519</v>
      </c>
      <c r="D61" s="103">
        <v>35.799999999999997</v>
      </c>
      <c r="E61" s="103">
        <v>0.04</v>
      </c>
      <c r="F61" s="103">
        <v>35</v>
      </c>
      <c r="G61" s="103">
        <v>35.799999999999997</v>
      </c>
      <c r="H61" s="103">
        <v>2</v>
      </c>
      <c r="I61" s="103">
        <v>35</v>
      </c>
      <c r="J61" s="103">
        <v>35.799999999999997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4</v>
      </c>
      <c r="E62" s="104">
        <v>1.1000000000000001E-3</v>
      </c>
      <c r="F62" s="105">
        <v>3000</v>
      </c>
      <c r="G62" s="105">
        <v>2900</v>
      </c>
      <c r="H62" s="103">
        <v>2</v>
      </c>
      <c r="I62" s="103">
        <v>35.76</v>
      </c>
      <c r="J62" s="103">
        <v>35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260.5</v>
      </c>
      <c r="E63" s="103">
        <v>0.5</v>
      </c>
      <c r="F63" s="103">
        <v>260.5</v>
      </c>
      <c r="G63" s="103">
        <v>261</v>
      </c>
      <c r="H63" s="105">
        <v>1044</v>
      </c>
      <c r="I63" s="103">
        <v>261</v>
      </c>
      <c r="J63" s="103">
        <v>262.5</v>
      </c>
      <c r="K63" s="103">
        <v>286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1729</v>
      </c>
      <c r="E64" s="104">
        <v>1.9E-3</v>
      </c>
      <c r="F64" s="103">
        <v>55</v>
      </c>
      <c r="G64" s="103">
        <v>1</v>
      </c>
      <c r="H64" s="105">
        <v>683</v>
      </c>
      <c r="I64" s="103">
        <v>260</v>
      </c>
      <c r="J64" s="103">
        <v>260.5</v>
      </c>
      <c r="K64" s="103">
        <v>234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24.9</v>
      </c>
      <c r="E65" s="103">
        <v>0.05</v>
      </c>
      <c r="F65" s="103">
        <v>24.9</v>
      </c>
      <c r="G65" s="103">
        <v>24.95</v>
      </c>
      <c r="H65" s="105">
        <v>1564</v>
      </c>
      <c r="I65" s="103">
        <v>24.85</v>
      </c>
      <c r="J65" s="103">
        <v>25.1</v>
      </c>
      <c r="K65" s="103">
        <v>27.3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2384</v>
      </c>
      <c r="E66" s="104">
        <v>2E-3</v>
      </c>
      <c r="F66" s="103">
        <v>132</v>
      </c>
      <c r="G66" s="103">
        <v>48</v>
      </c>
      <c r="H66" s="105">
        <v>794</v>
      </c>
      <c r="I66" s="103">
        <v>24.85</v>
      </c>
      <c r="J66" s="103">
        <v>24.85</v>
      </c>
      <c r="K66" s="103">
        <v>22.4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513</v>
      </c>
      <c r="E67" s="103">
        <v>-7</v>
      </c>
      <c r="F67" s="103">
        <v>513</v>
      </c>
      <c r="G67" s="103">
        <v>514</v>
      </c>
      <c r="H67" s="103">
        <v>207</v>
      </c>
      <c r="I67" s="103">
        <v>520</v>
      </c>
      <c r="J67" s="103">
        <v>522</v>
      </c>
      <c r="K67" s="103">
        <v>572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383</v>
      </c>
      <c r="E68" s="104">
        <v>-1.35E-2</v>
      </c>
      <c r="F68" s="103">
        <v>11</v>
      </c>
      <c r="G68" s="103">
        <v>4</v>
      </c>
      <c r="H68" s="103">
        <v>174</v>
      </c>
      <c r="I68" s="103">
        <v>520</v>
      </c>
      <c r="J68" s="103">
        <v>512</v>
      </c>
      <c r="K68" s="103">
        <v>468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9.91</v>
      </c>
      <c r="E69" s="103">
        <v>-0.03</v>
      </c>
      <c r="F69" s="103">
        <v>9.9</v>
      </c>
      <c r="G69" s="103">
        <v>9.91</v>
      </c>
      <c r="H69" s="105">
        <v>162</v>
      </c>
      <c r="I69" s="103">
        <v>9.99</v>
      </c>
      <c r="J69" s="103">
        <v>10.050000000000001</v>
      </c>
      <c r="K69" s="103">
        <v>10.9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344</v>
      </c>
      <c r="E70" s="104">
        <v>-3.0000000000000001E-3</v>
      </c>
      <c r="F70" s="103">
        <v>15</v>
      </c>
      <c r="G70" s="103">
        <v>5</v>
      </c>
      <c r="H70" s="105">
        <v>180</v>
      </c>
      <c r="I70" s="103">
        <v>9.94</v>
      </c>
      <c r="J70" s="103">
        <v>9.86</v>
      </c>
      <c r="K70" s="103">
        <v>8.9499999999999993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0.60416666666666663</v>
      </c>
      <c r="D71" s="103">
        <v>214.5</v>
      </c>
      <c r="E71" s="103">
        <v>4</v>
      </c>
      <c r="F71" s="103">
        <v>214.5</v>
      </c>
      <c r="G71" s="103">
        <v>215</v>
      </c>
      <c r="H71" s="103">
        <v>237</v>
      </c>
      <c r="I71" s="103">
        <v>212</v>
      </c>
      <c r="J71" s="103">
        <v>215</v>
      </c>
      <c r="K71" s="103">
        <v>231.5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787</v>
      </c>
      <c r="E72" s="104">
        <v>1.9E-2</v>
      </c>
      <c r="F72" s="103">
        <v>58</v>
      </c>
      <c r="G72" s="103">
        <v>33</v>
      </c>
      <c r="H72" s="103">
        <v>539</v>
      </c>
      <c r="I72" s="103">
        <v>210.5</v>
      </c>
      <c r="J72" s="103">
        <v>210.5</v>
      </c>
      <c r="K72" s="103">
        <v>189.5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51.8</v>
      </c>
      <c r="E73" s="103">
        <v>0.2</v>
      </c>
      <c r="F73" s="103">
        <v>51.6</v>
      </c>
      <c r="G73" s="103">
        <v>51.8</v>
      </c>
      <c r="H73" s="103">
        <v>44</v>
      </c>
      <c r="I73" s="103">
        <v>51.6</v>
      </c>
      <c r="J73" s="103">
        <v>51.8</v>
      </c>
      <c r="K73" s="103">
        <v>56.7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73</v>
      </c>
      <c r="E74" s="104">
        <v>3.8999999999999998E-3</v>
      </c>
      <c r="F74" s="103">
        <v>1</v>
      </c>
      <c r="G74" s="103">
        <v>1</v>
      </c>
      <c r="H74" s="103">
        <v>20</v>
      </c>
      <c r="I74" s="103">
        <v>51.6</v>
      </c>
      <c r="J74" s="103">
        <v>51.4</v>
      </c>
      <c r="K74" s="103">
        <v>46.45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101.5</v>
      </c>
      <c r="E75" s="103">
        <v>0.5</v>
      </c>
      <c r="F75" s="103">
        <v>101</v>
      </c>
      <c r="G75" s="103">
        <v>101.5</v>
      </c>
      <c r="H75" s="103">
        <v>86</v>
      </c>
      <c r="I75" s="103">
        <v>101</v>
      </c>
      <c r="J75" s="103">
        <v>102</v>
      </c>
      <c r="K75" s="103">
        <v>111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175</v>
      </c>
      <c r="E76" s="104">
        <v>5.0000000000000001E-3</v>
      </c>
      <c r="F76" s="103">
        <v>6</v>
      </c>
      <c r="G76" s="103">
        <v>14</v>
      </c>
      <c r="H76" s="105">
        <v>87</v>
      </c>
      <c r="I76" s="103">
        <v>101</v>
      </c>
      <c r="J76" s="103">
        <v>100</v>
      </c>
      <c r="K76" s="103">
        <v>90.9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0.5625</v>
      </c>
      <c r="D77" s="103">
        <v>240.5</v>
      </c>
      <c r="E77" s="103">
        <v>1.5</v>
      </c>
      <c r="F77" s="103">
        <v>239.5</v>
      </c>
      <c r="G77" s="103">
        <v>240.5</v>
      </c>
      <c r="H77" s="105">
        <v>104</v>
      </c>
      <c r="I77" s="103">
        <v>240</v>
      </c>
      <c r="J77" s="103">
        <v>241</v>
      </c>
      <c r="K77" s="103">
        <v>262.5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201</v>
      </c>
      <c r="E78" s="104">
        <v>6.3E-3</v>
      </c>
      <c r="F78" s="103">
        <v>1</v>
      </c>
      <c r="G78" s="103">
        <v>45</v>
      </c>
      <c r="H78" s="105">
        <v>94</v>
      </c>
      <c r="I78" s="103">
        <v>239</v>
      </c>
      <c r="J78" s="103">
        <v>239</v>
      </c>
      <c r="K78" s="103">
        <v>215.5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0.54438657407407409</v>
      </c>
      <c r="D79" s="103">
        <v>64.7</v>
      </c>
      <c r="E79" s="103">
        <v>0.2</v>
      </c>
      <c r="F79" s="103">
        <v>64.3</v>
      </c>
      <c r="G79" s="103">
        <v>64.7</v>
      </c>
      <c r="H79" s="103">
        <v>4</v>
      </c>
      <c r="I79" s="103">
        <v>64.7</v>
      </c>
      <c r="J79" s="103">
        <v>64.7</v>
      </c>
      <c r="K79" s="103">
        <v>70.900000000000006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6</v>
      </c>
      <c r="E80" s="104">
        <v>3.0999999999999999E-3</v>
      </c>
      <c r="F80" s="103">
        <v>2</v>
      </c>
      <c r="G80" s="103">
        <v>5</v>
      </c>
      <c r="H80" s="103">
        <v>2</v>
      </c>
      <c r="I80" s="103">
        <v>64.5</v>
      </c>
      <c r="J80" s="103">
        <v>64.3</v>
      </c>
      <c r="K80" s="103">
        <v>58.1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204</v>
      </c>
      <c r="E81" s="103" t="s">
        <v>14</v>
      </c>
      <c r="F81" s="103">
        <v>204</v>
      </c>
      <c r="G81" s="103">
        <v>204.5</v>
      </c>
      <c r="H81" s="103">
        <v>4</v>
      </c>
      <c r="I81" s="103">
        <v>203</v>
      </c>
      <c r="J81" s="103">
        <v>204</v>
      </c>
      <c r="K81" s="103">
        <v>224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7</v>
      </c>
      <c r="E82" s="104" t="s">
        <v>14</v>
      </c>
      <c r="F82" s="103">
        <v>4</v>
      </c>
      <c r="G82" s="103">
        <v>1</v>
      </c>
      <c r="H82" s="103">
        <v>3</v>
      </c>
      <c r="I82" s="103">
        <v>204</v>
      </c>
      <c r="J82" s="103">
        <v>203</v>
      </c>
      <c r="K82" s="103">
        <v>184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0.5625</v>
      </c>
      <c r="D83" s="103">
        <v>68.400000000000006</v>
      </c>
      <c r="E83" s="103">
        <v>0.5</v>
      </c>
      <c r="F83" s="103">
        <v>68.400000000000006</v>
      </c>
      <c r="G83" s="103">
        <v>68.599999999999994</v>
      </c>
      <c r="H83" s="105">
        <v>1040</v>
      </c>
      <c r="I83" s="103">
        <v>68.599999999999994</v>
      </c>
      <c r="J83" s="103">
        <v>68.900000000000006</v>
      </c>
      <c r="K83" s="103">
        <v>74.599999999999994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1774</v>
      </c>
      <c r="E84" s="104">
        <v>7.4000000000000003E-3</v>
      </c>
      <c r="F84" s="103">
        <v>17</v>
      </c>
      <c r="G84" s="103">
        <v>17</v>
      </c>
      <c r="H84" s="105">
        <v>717</v>
      </c>
      <c r="I84" s="103">
        <v>67.900000000000006</v>
      </c>
      <c r="J84" s="103">
        <v>68.3</v>
      </c>
      <c r="K84" s="103">
        <v>61.2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51.4</v>
      </c>
      <c r="E85" s="103">
        <v>0.7</v>
      </c>
      <c r="F85" s="103">
        <v>51.4</v>
      </c>
      <c r="G85" s="103">
        <v>51.5</v>
      </c>
      <c r="H85" s="105">
        <v>2966</v>
      </c>
      <c r="I85" s="103">
        <v>51.4</v>
      </c>
      <c r="J85" s="103">
        <v>52.3</v>
      </c>
      <c r="K85" s="103">
        <v>55.7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5867</v>
      </c>
      <c r="E86" s="104">
        <v>1.38E-2</v>
      </c>
      <c r="F86" s="103">
        <v>12</v>
      </c>
      <c r="G86" s="103">
        <v>11</v>
      </c>
      <c r="H86" s="105">
        <v>2702</v>
      </c>
      <c r="I86" s="103">
        <v>50.7</v>
      </c>
      <c r="J86" s="103">
        <v>51</v>
      </c>
      <c r="K86" s="103">
        <v>45.65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0.5625</v>
      </c>
      <c r="D87" s="103">
        <v>46.2</v>
      </c>
      <c r="E87" s="103">
        <v>-0.75</v>
      </c>
      <c r="F87" s="103">
        <v>46.2</v>
      </c>
      <c r="G87" s="103">
        <v>46.25</v>
      </c>
      <c r="H87" s="105">
        <v>824</v>
      </c>
      <c r="I87" s="103">
        <v>47.05</v>
      </c>
      <c r="J87" s="103">
        <v>47.2</v>
      </c>
      <c r="K87" s="103">
        <v>51.6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1184</v>
      </c>
      <c r="E88" s="104">
        <v>-1.6E-2</v>
      </c>
      <c r="F88" s="105">
        <v>3</v>
      </c>
      <c r="G88" s="103">
        <v>1</v>
      </c>
      <c r="H88" s="105">
        <v>339</v>
      </c>
      <c r="I88" s="103">
        <v>46.95</v>
      </c>
      <c r="J88" s="103">
        <v>46.05</v>
      </c>
      <c r="K88" s="103">
        <v>42.3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0.60416666666666663</v>
      </c>
      <c r="D89" s="103">
        <v>372</v>
      </c>
      <c r="E89" s="103">
        <v>-8.5</v>
      </c>
      <c r="F89" s="103">
        <v>371.5</v>
      </c>
      <c r="G89" s="103">
        <v>372</v>
      </c>
      <c r="H89" s="103">
        <v>391</v>
      </c>
      <c r="I89" s="103">
        <v>380.5</v>
      </c>
      <c r="J89" s="103">
        <v>380.5</v>
      </c>
      <c r="K89" s="103">
        <v>418.5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623</v>
      </c>
      <c r="E90" s="104">
        <v>-2.23E-2</v>
      </c>
      <c r="F90" s="103">
        <v>10</v>
      </c>
      <c r="G90" s="103">
        <v>3</v>
      </c>
      <c r="H90" s="105">
        <v>228</v>
      </c>
      <c r="I90" s="103">
        <v>380.5</v>
      </c>
      <c r="J90" s="103">
        <v>372</v>
      </c>
      <c r="K90" s="103">
        <v>342.5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725</v>
      </c>
      <c r="E91" s="103">
        <v>-15</v>
      </c>
      <c r="F91" s="103">
        <v>725</v>
      </c>
      <c r="G91" s="103">
        <v>727</v>
      </c>
      <c r="H91" s="103">
        <v>84</v>
      </c>
      <c r="I91" s="103">
        <v>738</v>
      </c>
      <c r="J91" s="103">
        <v>753</v>
      </c>
      <c r="K91" s="103">
        <v>814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129</v>
      </c>
      <c r="E92" s="104">
        <v>-2.0299999999999999E-2</v>
      </c>
      <c r="F92" s="103">
        <v>1</v>
      </c>
      <c r="G92" s="103">
        <v>2</v>
      </c>
      <c r="H92" s="103">
        <v>44</v>
      </c>
      <c r="I92" s="103">
        <v>740</v>
      </c>
      <c r="J92" s="103">
        <v>721</v>
      </c>
      <c r="K92" s="103">
        <v>666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9.8000000000000004E-2</v>
      </c>
      <c r="G94" s="86">
        <f>F94-M94</f>
        <v>0</v>
      </c>
      <c r="H94" s="87">
        <f>F94/M94-1</f>
        <v>0</v>
      </c>
      <c r="I94" s="98">
        <v>229</v>
      </c>
      <c r="J94" s="100">
        <v>0.1</v>
      </c>
      <c r="K94" s="100">
        <v>0.1</v>
      </c>
      <c r="L94" s="100">
        <v>9.5000000000000001E-2</v>
      </c>
      <c r="M94" s="88">
        <v>9.8000000000000004E-2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0.315</v>
      </c>
      <c r="G95" s="86">
        <f>F95-M95</f>
        <v>-5.0000000000000044E-3</v>
      </c>
      <c r="H95" s="87">
        <f>F95/M95-1</f>
        <v>-1.5625E-2</v>
      </c>
      <c r="I95" s="98">
        <v>822</v>
      </c>
      <c r="J95" s="100">
        <v>0.32500000000000001</v>
      </c>
      <c r="K95" s="100">
        <v>0.33500000000000002</v>
      </c>
      <c r="L95" s="100">
        <v>0.30499999999999999</v>
      </c>
      <c r="M95" s="88">
        <v>0.32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A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F32" sqref="F32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45729.754821296294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21961.68</v>
      </c>
      <c r="E6" s="94">
        <v>22278.36</v>
      </c>
      <c r="F6" s="33">
        <f>(D6-E6)/E6</f>
        <v>-1.4214690847979846E-2</v>
      </c>
      <c r="G6" s="34"/>
      <c r="H6" s="91">
        <f>ROUND(378659811240/100000000,2)</f>
        <v>3786.6</v>
      </c>
      <c r="I6" s="91">
        <v>3506.46</v>
      </c>
      <c r="J6" s="35">
        <f>+H6-I6</f>
        <v>280.13999999999987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23462.65</v>
      </c>
      <c r="E8" s="90">
        <v>23600.31</v>
      </c>
      <c r="F8" s="33">
        <f>(D8-E8)/E8</f>
        <v>-5.8329742278808985E-3</v>
      </c>
      <c r="G8" s="34"/>
      <c r="H8" s="91">
        <v>2338.33</v>
      </c>
      <c r="I8" s="91">
        <v>2784.92</v>
      </c>
      <c r="J8" s="35">
        <f>+H8-I8</f>
        <v>-446.59000000000015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今日收盤3/13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51.8</v>
      </c>
      <c r="E13" s="60">
        <f>I60</f>
        <v>51.8</v>
      </c>
      <c r="F13" s="61">
        <f>D13-E13</f>
        <v>0</v>
      </c>
      <c r="G13" s="62">
        <f>F13/E13</f>
        <v>0</v>
      </c>
      <c r="H13" s="63">
        <f>I59</f>
        <v>51</v>
      </c>
      <c r="I13" s="60">
        <f>J60</f>
        <v>50.9</v>
      </c>
      <c r="J13" s="60">
        <f>J59</f>
        <v>51.8</v>
      </c>
      <c r="K13" s="64">
        <f>D60</f>
        <v>13</v>
      </c>
      <c r="L13" s="64">
        <f>+O13*D13</f>
        <v>2454.7838700000002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260</v>
      </c>
      <c r="E14" s="60">
        <f>I64</f>
        <v>260.5</v>
      </c>
      <c r="F14" s="61">
        <f t="shared" ref="F14:F30" si="0">D14-E14</f>
        <v>-0.5</v>
      </c>
      <c r="G14" s="62">
        <f>F14/E14</f>
        <v>-1.9193857965451055E-3</v>
      </c>
      <c r="H14" s="63">
        <f>I63</f>
        <v>262</v>
      </c>
      <c r="I14" s="60">
        <f>J64</f>
        <v>259</v>
      </c>
      <c r="J14" s="60">
        <f>J63</f>
        <v>262</v>
      </c>
      <c r="K14" s="73">
        <f>D64</f>
        <v>1181</v>
      </c>
      <c r="L14" s="64">
        <f>+O14*D14</f>
        <v>270301.72000000003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198</v>
      </c>
      <c r="E15" s="71">
        <f>$I$50</f>
        <v>208</v>
      </c>
      <c r="F15" s="61">
        <f>D15-E15</f>
        <v>-10</v>
      </c>
      <c r="G15" s="62">
        <f>F15/E15</f>
        <v>-4.807692307692308E-2</v>
      </c>
      <c r="H15" s="72">
        <f>$I$49</f>
        <v>208.5</v>
      </c>
      <c r="I15" s="60">
        <f>J50</f>
        <v>198</v>
      </c>
      <c r="J15" s="71">
        <f>$J$49</f>
        <v>208.5</v>
      </c>
      <c r="K15" s="73">
        <f>$D$50</f>
        <v>637</v>
      </c>
      <c r="L15" s="64">
        <f>D15*O15</f>
        <v>44197.56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39.65</v>
      </c>
      <c r="E16" s="71">
        <f>I48</f>
        <v>39.9</v>
      </c>
      <c r="F16" s="61">
        <f>D16-E16</f>
        <v>-0.25</v>
      </c>
      <c r="G16" s="62">
        <f>F16/E16</f>
        <v>-6.265664160401003E-3</v>
      </c>
      <c r="H16" s="72">
        <f>I47</f>
        <v>39.9</v>
      </c>
      <c r="I16" s="60">
        <f>J48</f>
        <v>39.65</v>
      </c>
      <c r="J16" s="71">
        <f>J47</f>
        <v>40.15</v>
      </c>
      <c r="K16" s="73">
        <f>D48</f>
        <v>24</v>
      </c>
      <c r="L16" s="64">
        <f>D16*O16</f>
        <v>2676.375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24.3</v>
      </c>
      <c r="E17" s="60">
        <f>I66</f>
        <v>24.9</v>
      </c>
      <c r="F17" s="61">
        <f t="shared" si="0"/>
        <v>-0.59999999999999787</v>
      </c>
      <c r="G17" s="62">
        <f t="shared" ref="G17:G22" si="1">F17/E17</f>
        <v>-2.4096385542168589E-2</v>
      </c>
      <c r="H17" s="63">
        <f>I65</f>
        <v>25</v>
      </c>
      <c r="I17" s="60">
        <f>J66</f>
        <v>24.3</v>
      </c>
      <c r="J17" s="60">
        <f>J65</f>
        <v>25</v>
      </c>
      <c r="K17" s="64">
        <f>D66</f>
        <v>5244</v>
      </c>
      <c r="L17" s="64">
        <f>+O17*D17</f>
        <v>34431.666300000004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513</v>
      </c>
      <c r="E18" s="60">
        <f>I68</f>
        <v>513</v>
      </c>
      <c r="F18" s="61">
        <f t="shared" si="0"/>
        <v>0</v>
      </c>
      <c r="G18" s="62">
        <f t="shared" si="1"/>
        <v>0</v>
      </c>
      <c r="H18" s="63">
        <f>I67</f>
        <v>514</v>
      </c>
      <c r="I18" s="60">
        <f>J68</f>
        <v>511</v>
      </c>
      <c r="J18" s="60">
        <f>J67</f>
        <v>517</v>
      </c>
      <c r="K18" s="64">
        <f>D68</f>
        <v>259</v>
      </c>
      <c r="L18" s="64">
        <f>+O18*D18</f>
        <v>53832.168000000005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9.77</v>
      </c>
      <c r="E19" s="60">
        <f>I70</f>
        <v>9.91</v>
      </c>
      <c r="F19" s="61">
        <f t="shared" si="0"/>
        <v>-0.14000000000000057</v>
      </c>
      <c r="G19" s="62">
        <f>F19/E19</f>
        <v>-1.4127144298688251E-2</v>
      </c>
      <c r="H19" s="63">
        <f>I69</f>
        <v>10</v>
      </c>
      <c r="I19" s="60">
        <f>J70</f>
        <v>9.77</v>
      </c>
      <c r="J19" s="60">
        <f>J69</f>
        <v>10</v>
      </c>
      <c r="K19" s="64">
        <f>D70</f>
        <v>249</v>
      </c>
      <c r="L19" s="64">
        <f>+O19*D19</f>
        <v>1910.3378700000001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35.950000000000003</v>
      </c>
      <c r="E20" s="60">
        <f>I62</f>
        <v>35.1</v>
      </c>
      <c r="F20" s="61">
        <f>D20-E20</f>
        <v>0.85000000000000142</v>
      </c>
      <c r="G20" s="62">
        <f>F20/E20</f>
        <v>2.4216524216524257E-2</v>
      </c>
      <c r="H20" s="63">
        <f>I61</f>
        <v>35.950000000000003</v>
      </c>
      <c r="I20" s="60">
        <f>J62</f>
        <v>35.950000000000003</v>
      </c>
      <c r="J20" s="60">
        <f>J61</f>
        <v>35.950000000000003</v>
      </c>
      <c r="K20" s="64">
        <f>D62</f>
        <v>0</v>
      </c>
      <c r="L20" s="64">
        <f>O20*D20</f>
        <v>2157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211</v>
      </c>
      <c r="E21" s="60">
        <f>I72</f>
        <v>214.5</v>
      </c>
      <c r="F21" s="61">
        <f t="shared" si="0"/>
        <v>-3.5</v>
      </c>
      <c r="G21" s="62">
        <f t="shared" si="1"/>
        <v>-1.6317016317016316E-2</v>
      </c>
      <c r="H21" s="63">
        <f>I71</f>
        <v>214</v>
      </c>
      <c r="I21" s="60">
        <f>J72</f>
        <v>211</v>
      </c>
      <c r="J21" s="60">
        <f>J71</f>
        <v>214.5</v>
      </c>
      <c r="K21" s="64">
        <f>D72</f>
        <v>453</v>
      </c>
      <c r="L21" s="64">
        <f t="shared" ref="L21:L28" si="2">+O21*D21</f>
        <v>26882.032999999999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51.6</v>
      </c>
      <c r="E22" s="60">
        <f>I74</f>
        <v>51.8</v>
      </c>
      <c r="F22" s="61">
        <f t="shared" si="0"/>
        <v>-0.19999999999999574</v>
      </c>
      <c r="G22" s="62">
        <f t="shared" si="1"/>
        <v>-3.8610038610037791E-3</v>
      </c>
      <c r="H22" s="63">
        <f>I73</f>
        <v>51.8</v>
      </c>
      <c r="I22" s="60">
        <f>J74</f>
        <v>51.5</v>
      </c>
      <c r="J22" s="60">
        <f>J73</f>
        <v>52</v>
      </c>
      <c r="K22" s="64">
        <f>D74</f>
        <v>38</v>
      </c>
      <c r="L22" s="64">
        <f t="shared" si="2"/>
        <v>18933.1928988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47.9</v>
      </c>
      <c r="E23" s="60">
        <f>I56</f>
        <v>49.1</v>
      </c>
      <c r="F23" s="61">
        <f>D23-E23</f>
        <v>-1.2000000000000028</v>
      </c>
      <c r="G23" s="62">
        <f>F23/E23</f>
        <v>-2.4439918533604946E-2</v>
      </c>
      <c r="H23" s="63">
        <f>I55</f>
        <v>49.4</v>
      </c>
      <c r="I23" s="60">
        <f>J56</f>
        <v>47.85</v>
      </c>
      <c r="J23" s="60">
        <f>J55</f>
        <v>49.4</v>
      </c>
      <c r="K23" s="64">
        <f>D56</f>
        <v>265</v>
      </c>
      <c r="L23" s="64">
        <f t="shared" si="2"/>
        <v>4384.0953999999992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60</v>
      </c>
      <c r="E24" s="60">
        <f>I58</f>
        <v>61.4</v>
      </c>
      <c r="F24" s="68">
        <f t="shared" si="0"/>
        <v>-1.3999999999999986</v>
      </c>
      <c r="G24" s="69">
        <f>F24/E24</f>
        <v>-2.280130293159607E-2</v>
      </c>
      <c r="H24" s="63">
        <f>I57</f>
        <v>61.6</v>
      </c>
      <c r="I24" s="60">
        <f>J58</f>
        <v>60</v>
      </c>
      <c r="J24" s="60">
        <f>J57</f>
        <v>61.7</v>
      </c>
      <c r="K24" s="64">
        <f>D58</f>
        <v>194</v>
      </c>
      <c r="L24" s="64">
        <f t="shared" si="2"/>
        <v>6346.74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95</v>
      </c>
      <c r="E25" s="71">
        <f>I76</f>
        <v>101.5</v>
      </c>
      <c r="F25" s="68">
        <f t="shared" si="0"/>
        <v>-6.5</v>
      </c>
      <c r="G25" s="69">
        <f t="shared" ref="G25:G31" si="3">F25/E25</f>
        <v>-6.4039408866995079E-2</v>
      </c>
      <c r="H25" s="72">
        <f>I75</f>
        <v>103</v>
      </c>
      <c r="I25" s="60">
        <f>J76</f>
        <v>94.6</v>
      </c>
      <c r="J25" s="71">
        <f>J75</f>
        <v>103</v>
      </c>
      <c r="K25" s="73">
        <f>D76</f>
        <v>1281</v>
      </c>
      <c r="L25" s="64">
        <f t="shared" si="2"/>
        <v>17100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233.5</v>
      </c>
      <c r="E26" s="71">
        <f>I78</f>
        <v>240.5</v>
      </c>
      <c r="F26" s="68">
        <f t="shared" si="0"/>
        <v>-7</v>
      </c>
      <c r="G26" s="69">
        <f t="shared" si="3"/>
        <v>-2.9106029106029108E-2</v>
      </c>
      <c r="H26" s="72">
        <f>I77</f>
        <v>240.5</v>
      </c>
      <c r="I26" s="71">
        <f>J78</f>
        <v>233</v>
      </c>
      <c r="J26" s="71">
        <f>J77</f>
        <v>240.5</v>
      </c>
      <c r="K26" s="73">
        <f>D78</f>
        <v>527</v>
      </c>
      <c r="L26" s="64">
        <f t="shared" si="2"/>
        <v>19719.308499999999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63.5</v>
      </c>
      <c r="E27" s="71">
        <f>I80</f>
        <v>64.7</v>
      </c>
      <c r="F27" s="68">
        <f>D27-E27</f>
        <v>-1.2000000000000028</v>
      </c>
      <c r="G27" s="69">
        <f>F27/E27</f>
        <v>-1.8547140649149967E-2</v>
      </c>
      <c r="H27" s="72">
        <f>I79</f>
        <v>64</v>
      </c>
      <c r="I27" s="71">
        <f>J80</f>
        <v>63.5</v>
      </c>
      <c r="J27" s="71">
        <f>J79</f>
        <v>64</v>
      </c>
      <c r="K27" s="73">
        <f>D80</f>
        <v>2</v>
      </c>
      <c r="L27" s="64">
        <f t="shared" si="2"/>
        <v>2056.7332499999998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202.5</v>
      </c>
      <c r="E28" s="71">
        <f>I82</f>
        <v>204</v>
      </c>
      <c r="F28" s="68">
        <f t="shared" si="0"/>
        <v>-1.5</v>
      </c>
      <c r="G28" s="69">
        <f t="shared" si="3"/>
        <v>-7.3529411764705881E-3</v>
      </c>
      <c r="H28" s="72">
        <f>I81</f>
        <v>204</v>
      </c>
      <c r="I28" s="71">
        <f>J82</f>
        <v>202.5</v>
      </c>
      <c r="J28" s="71">
        <f>J81</f>
        <v>204</v>
      </c>
      <c r="K28" s="73">
        <f>D82</f>
        <v>24</v>
      </c>
      <c r="L28" s="64">
        <f t="shared" si="2"/>
        <v>7998.9524999999994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116.5</v>
      </c>
      <c r="E29" s="71">
        <f>I46</f>
        <v>116.06</v>
      </c>
      <c r="F29" s="68">
        <f>D29-E29</f>
        <v>0.43999999999999773</v>
      </c>
      <c r="G29" s="69">
        <f>F29/E29</f>
        <v>3.7911425124935181E-3</v>
      </c>
      <c r="H29" s="72">
        <f>I45</f>
        <v>117</v>
      </c>
      <c r="I29" s="71">
        <f>J46</f>
        <v>115.5</v>
      </c>
      <c r="J29" s="71">
        <f>J45</f>
        <v>118</v>
      </c>
      <c r="K29" s="73">
        <f>D46</f>
        <v>25</v>
      </c>
      <c r="L29" s="64">
        <f>+D29*O29</f>
        <v>2386.6330965000002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44.1</v>
      </c>
      <c r="E30" s="71">
        <f>I88</f>
        <v>46.2</v>
      </c>
      <c r="F30" s="68">
        <f t="shared" si="0"/>
        <v>-2.1000000000000014</v>
      </c>
      <c r="G30" s="69">
        <f t="shared" si="3"/>
        <v>-4.5454545454545484E-2</v>
      </c>
      <c r="H30" s="72">
        <f>I87</f>
        <v>46.2</v>
      </c>
      <c r="I30" s="71">
        <f>J88</f>
        <v>44</v>
      </c>
      <c r="J30" s="71">
        <f>J87</f>
        <v>46.5</v>
      </c>
      <c r="K30" s="73">
        <f>D88</f>
        <v>2293</v>
      </c>
      <c r="L30" s="64">
        <f>D30*O30</f>
        <v>9069.0326999999997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52.5</v>
      </c>
      <c r="E31" s="71">
        <f>I86</f>
        <v>51.4</v>
      </c>
      <c r="F31" s="68">
        <f>D31-E31</f>
        <v>1.1000000000000014</v>
      </c>
      <c r="G31" s="69">
        <f t="shared" si="3"/>
        <v>2.140077821011676E-2</v>
      </c>
      <c r="H31" s="72">
        <f>I85</f>
        <v>52.1</v>
      </c>
      <c r="I31" s="71">
        <f>J86</f>
        <v>51.8</v>
      </c>
      <c r="J31" s="71">
        <f>J85</f>
        <v>53.6</v>
      </c>
      <c r="K31" s="73">
        <f>D86</f>
        <v>5723</v>
      </c>
      <c r="L31" s="64">
        <f>+O31*D31</f>
        <v>33193.807500000003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360</v>
      </c>
      <c r="E32" s="71">
        <f>I90</f>
        <v>372</v>
      </c>
      <c r="F32" s="68">
        <f>D32-E32</f>
        <v>-12</v>
      </c>
      <c r="G32" s="69">
        <f>F32/E32</f>
        <v>-3.2258064516129031E-2</v>
      </c>
      <c r="H32" s="72">
        <f>I89</f>
        <v>372.5</v>
      </c>
      <c r="I32" s="71">
        <f>J90</f>
        <v>360</v>
      </c>
      <c r="J32" s="71">
        <f>J89</f>
        <v>373</v>
      </c>
      <c r="K32" s="73">
        <f>D90</f>
        <v>682</v>
      </c>
      <c r="L32" s="64">
        <f>+O32*D32</f>
        <v>90848.52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13.55</v>
      </c>
      <c r="E33" s="71">
        <f>I54</f>
        <v>13.45</v>
      </c>
      <c r="F33" s="68">
        <f>D33-E33</f>
        <v>0.10000000000000142</v>
      </c>
      <c r="G33" s="69">
        <f>F33/E33</f>
        <v>7.434944237918322E-3</v>
      </c>
      <c r="H33" s="72">
        <f>I53</f>
        <v>13.35</v>
      </c>
      <c r="I33" s="71">
        <f>J54</f>
        <v>13.35</v>
      </c>
      <c r="J33" s="71">
        <f>J53</f>
        <v>13.75</v>
      </c>
      <c r="K33" s="73">
        <f>D54</f>
        <v>24</v>
      </c>
      <c r="L33" s="64">
        <f>+O33*D33</f>
        <v>869.51705000000015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92.9</v>
      </c>
      <c r="E34" s="71">
        <f>$I$52</f>
        <v>98.6</v>
      </c>
      <c r="F34" s="68">
        <f>D34-E34</f>
        <v>-5.6999999999999886</v>
      </c>
      <c r="G34" s="69">
        <f>F34/E34</f>
        <v>-5.7809330628803134E-2</v>
      </c>
      <c r="H34" s="72">
        <f>$I$51</f>
        <v>100</v>
      </c>
      <c r="I34" s="71">
        <f>J52</f>
        <v>92</v>
      </c>
      <c r="J34" s="71">
        <f>$J$51</f>
        <v>100</v>
      </c>
      <c r="K34" s="73">
        <f>$D$52</f>
        <v>1162</v>
      </c>
      <c r="L34" s="64">
        <f>+O34*D34</f>
        <v>11201.6962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726</v>
      </c>
      <c r="E35" s="71">
        <f>I92</f>
        <v>725</v>
      </c>
      <c r="F35" s="68">
        <f>D35-E35</f>
        <v>1</v>
      </c>
      <c r="G35" s="69">
        <f>F35/E35</f>
        <v>1.3793103448275861E-3</v>
      </c>
      <c r="H35" s="72">
        <f>I91</f>
        <v>725</v>
      </c>
      <c r="I35" s="71">
        <f>J92</f>
        <v>725</v>
      </c>
      <c r="J35" s="71">
        <f>J91</f>
        <v>750</v>
      </c>
      <c r="K35" s="73">
        <f>D92</f>
        <v>74</v>
      </c>
      <c r="L35" s="64">
        <f>+O35*D35</f>
        <v>49368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9.2999999999999999E-2</v>
      </c>
      <c r="E38" s="60">
        <f>M94</f>
        <v>9.8000000000000004E-2</v>
      </c>
      <c r="F38" s="61">
        <f>D38-E38</f>
        <v>-5.0000000000000044E-3</v>
      </c>
      <c r="G38" s="62">
        <f>F38/E38</f>
        <v>-5.1020408163265349E-2</v>
      </c>
      <c r="H38" s="63">
        <f>J94</f>
        <v>0.1</v>
      </c>
      <c r="I38" s="60">
        <f>L94</f>
        <v>9.2999999999999999E-2</v>
      </c>
      <c r="J38" s="60">
        <f>K94</f>
        <v>0.1</v>
      </c>
      <c r="K38" s="64">
        <f>I94</f>
        <v>1846</v>
      </c>
      <c r="L38" s="64">
        <f>+O38*D38</f>
        <v>245.01147600000002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0.33500000000000002</v>
      </c>
      <c r="E39" s="60">
        <f>M95</f>
        <v>0.315</v>
      </c>
      <c r="F39" s="61">
        <f>D39-E39</f>
        <v>2.0000000000000018E-2</v>
      </c>
      <c r="G39" s="77">
        <f>F39/E39</f>
        <v>6.3492063492063544E-2</v>
      </c>
      <c r="H39" s="63">
        <f>J95</f>
        <v>0.32500000000000001</v>
      </c>
      <c r="I39" s="60">
        <f>L95</f>
        <v>0.29499999999999998</v>
      </c>
      <c r="J39" s="60">
        <f>K95</f>
        <v>0.34</v>
      </c>
      <c r="K39" s="64">
        <f>I95</f>
        <v>689</v>
      </c>
      <c r="L39" s="64">
        <f>+O39*D39</f>
        <v>564.85857499999997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0.62292824074074071</v>
      </c>
      <c r="D45" s="103">
        <v>116.5</v>
      </c>
      <c r="E45" s="103">
        <v>0.44</v>
      </c>
      <c r="F45" s="103">
        <v>115.5</v>
      </c>
      <c r="G45" s="103">
        <v>116.5</v>
      </c>
      <c r="H45" s="103">
        <v>6</v>
      </c>
      <c r="I45" s="103">
        <v>117</v>
      </c>
      <c r="J45" s="103">
        <v>118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25</v>
      </c>
      <c r="E46" s="104">
        <v>3.8E-3</v>
      </c>
      <c r="F46" s="105">
        <v>4000</v>
      </c>
      <c r="G46" s="105">
        <v>1990</v>
      </c>
      <c r="H46" s="103">
        <v>9</v>
      </c>
      <c r="I46" s="103">
        <v>116.06</v>
      </c>
      <c r="J46" s="103">
        <v>115.5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0.5625</v>
      </c>
      <c r="D47" s="103">
        <v>39.65</v>
      </c>
      <c r="E47" s="103">
        <v>-0.25</v>
      </c>
      <c r="F47" s="103">
        <v>39.549999999999997</v>
      </c>
      <c r="G47" s="103">
        <v>39.9</v>
      </c>
      <c r="H47" s="103">
        <v>22</v>
      </c>
      <c r="I47" s="103">
        <v>39.9</v>
      </c>
      <c r="J47" s="103">
        <v>40.15</v>
      </c>
      <c r="K47" s="103">
        <v>43.85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24</v>
      </c>
      <c r="E48" s="104">
        <v>-6.3E-3</v>
      </c>
      <c r="F48" s="103">
        <v>3</v>
      </c>
      <c r="G48" s="103">
        <v>1</v>
      </c>
      <c r="H48" s="103">
        <v>2</v>
      </c>
      <c r="I48" s="103">
        <v>39.9</v>
      </c>
      <c r="J48" s="103">
        <v>39.65</v>
      </c>
      <c r="K48" s="103">
        <v>35.950000000000003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198</v>
      </c>
      <c r="E49" s="103">
        <v>-10</v>
      </c>
      <c r="F49" s="103">
        <v>198</v>
      </c>
      <c r="G49" s="103">
        <v>198.5</v>
      </c>
      <c r="H49" s="103">
        <v>420</v>
      </c>
      <c r="I49" s="103">
        <v>208.5</v>
      </c>
      <c r="J49" s="103">
        <v>208.5</v>
      </c>
      <c r="K49" s="103">
        <v>228.5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637</v>
      </c>
      <c r="E50" s="104">
        <v>-4.8099999999999997E-2</v>
      </c>
      <c r="F50" s="103">
        <v>20</v>
      </c>
      <c r="G50" s="103">
        <v>4</v>
      </c>
      <c r="H50" s="103">
        <v>203</v>
      </c>
      <c r="I50" s="103">
        <v>208</v>
      </c>
      <c r="J50" s="103">
        <v>198</v>
      </c>
      <c r="K50" s="103">
        <v>187.5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0.60416666666666663</v>
      </c>
      <c r="D51" s="103">
        <v>92.9</v>
      </c>
      <c r="E51" s="103">
        <v>-5.7</v>
      </c>
      <c r="F51" s="103">
        <v>92.8</v>
      </c>
      <c r="G51" s="103">
        <v>92.9</v>
      </c>
      <c r="H51" s="105">
        <v>709</v>
      </c>
      <c r="I51" s="103">
        <v>100</v>
      </c>
      <c r="J51" s="103">
        <v>100</v>
      </c>
      <c r="K51" s="103">
        <v>108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1162</v>
      </c>
      <c r="E52" s="104">
        <v>-5.7799999999999997E-2</v>
      </c>
      <c r="F52" s="103">
        <v>1</v>
      </c>
      <c r="G52" s="103">
        <v>5</v>
      </c>
      <c r="H52" s="105">
        <v>438</v>
      </c>
      <c r="I52" s="103">
        <v>98.6</v>
      </c>
      <c r="J52" s="103">
        <v>92</v>
      </c>
      <c r="K52" s="103">
        <v>88.8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13.55</v>
      </c>
      <c r="E53" s="103">
        <v>0.1</v>
      </c>
      <c r="F53" s="103">
        <v>13.4</v>
      </c>
      <c r="G53" s="103">
        <v>13.75</v>
      </c>
      <c r="H53" s="103">
        <v>10</v>
      </c>
      <c r="I53" s="103">
        <v>13.35</v>
      </c>
      <c r="J53" s="103">
        <v>13.75</v>
      </c>
      <c r="K53" s="103">
        <v>14.75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24</v>
      </c>
      <c r="E54" s="104">
        <v>7.4000000000000003E-3</v>
      </c>
      <c r="F54" s="103">
        <v>8</v>
      </c>
      <c r="G54" s="103">
        <v>6</v>
      </c>
      <c r="H54" s="103">
        <v>14</v>
      </c>
      <c r="I54" s="103">
        <v>13.45</v>
      </c>
      <c r="J54" s="103">
        <v>13.35</v>
      </c>
      <c r="K54" s="103">
        <v>12.15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47.9</v>
      </c>
      <c r="E55" s="103">
        <v>-1.2</v>
      </c>
      <c r="F55" s="103">
        <v>47.9</v>
      </c>
      <c r="G55" s="103">
        <v>47.95</v>
      </c>
      <c r="H55" s="105">
        <v>232</v>
      </c>
      <c r="I55" s="103">
        <v>49.4</v>
      </c>
      <c r="J55" s="103">
        <v>49.4</v>
      </c>
      <c r="K55" s="103">
        <v>54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265</v>
      </c>
      <c r="E56" s="104">
        <v>-2.4400000000000002E-2</v>
      </c>
      <c r="F56" s="103">
        <v>3</v>
      </c>
      <c r="G56" s="103">
        <v>1</v>
      </c>
      <c r="H56" s="105">
        <v>32</v>
      </c>
      <c r="I56" s="103">
        <v>49.1</v>
      </c>
      <c r="J56" s="103">
        <v>47.85</v>
      </c>
      <c r="K56" s="103">
        <v>44.2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0.60416666666666663</v>
      </c>
      <c r="D57" s="103">
        <v>60</v>
      </c>
      <c r="E57" s="103">
        <v>-1.4</v>
      </c>
      <c r="F57" s="103">
        <v>59.9</v>
      </c>
      <c r="G57" s="103">
        <v>60</v>
      </c>
      <c r="H57" s="105">
        <v>164</v>
      </c>
      <c r="I57" s="103">
        <v>61.6</v>
      </c>
      <c r="J57" s="103">
        <v>61.7</v>
      </c>
      <c r="K57" s="103">
        <v>67.5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194</v>
      </c>
      <c r="E58" s="104">
        <v>-2.2800000000000001E-2</v>
      </c>
      <c r="F58" s="103">
        <v>5</v>
      </c>
      <c r="G58" s="103">
        <v>2</v>
      </c>
      <c r="H58" s="105">
        <v>30</v>
      </c>
      <c r="I58" s="103">
        <v>61.4</v>
      </c>
      <c r="J58" s="103">
        <v>60</v>
      </c>
      <c r="K58" s="103">
        <v>55.3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0.5625</v>
      </c>
      <c r="D59" s="103">
        <v>51.8</v>
      </c>
      <c r="E59" s="103" t="s">
        <v>14</v>
      </c>
      <c r="F59" s="103">
        <v>50.9</v>
      </c>
      <c r="G59" s="103">
        <v>51.9</v>
      </c>
      <c r="H59" s="103">
        <v>3</v>
      </c>
      <c r="I59" s="103">
        <v>51</v>
      </c>
      <c r="J59" s="103">
        <v>51.8</v>
      </c>
      <c r="K59" s="103">
        <v>56.9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13</v>
      </c>
      <c r="E60" s="104" t="s">
        <v>14</v>
      </c>
      <c r="F60" s="103">
        <v>1</v>
      </c>
      <c r="G60" s="103">
        <v>1</v>
      </c>
      <c r="H60" s="103">
        <v>10</v>
      </c>
      <c r="I60" s="103">
        <v>51.8</v>
      </c>
      <c r="J60" s="103">
        <v>50.9</v>
      </c>
      <c r="K60" s="103">
        <v>46.65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0.56009259259259259</v>
      </c>
      <c r="D61" s="103">
        <v>35.950000000000003</v>
      </c>
      <c r="E61" s="103">
        <v>0.85</v>
      </c>
      <c r="F61" s="103">
        <v>34.9</v>
      </c>
      <c r="G61" s="103">
        <v>35.950000000000003</v>
      </c>
      <c r="H61" s="103" t="s">
        <v>14</v>
      </c>
      <c r="I61" s="103">
        <v>35.950000000000003</v>
      </c>
      <c r="J61" s="103">
        <v>35.950000000000003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0</v>
      </c>
      <c r="E62" s="104">
        <v>2.4199999999999999E-2</v>
      </c>
      <c r="F62" s="105">
        <v>3000</v>
      </c>
      <c r="G62" s="105">
        <v>3000</v>
      </c>
      <c r="H62" s="103" t="s">
        <v>14</v>
      </c>
      <c r="I62" s="103">
        <v>35.1</v>
      </c>
      <c r="J62" s="103">
        <v>35.950000000000003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260</v>
      </c>
      <c r="E63" s="103">
        <v>-0.5</v>
      </c>
      <c r="F63" s="103">
        <v>260</v>
      </c>
      <c r="G63" s="103">
        <v>260.5</v>
      </c>
      <c r="H63" s="105">
        <v>900</v>
      </c>
      <c r="I63" s="103">
        <v>262</v>
      </c>
      <c r="J63" s="103">
        <v>262</v>
      </c>
      <c r="K63" s="103">
        <v>286.5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1181</v>
      </c>
      <c r="E64" s="104">
        <v>-1.9E-3</v>
      </c>
      <c r="F64" s="103">
        <v>5</v>
      </c>
      <c r="G64" s="103">
        <v>41</v>
      </c>
      <c r="H64" s="105">
        <v>258</v>
      </c>
      <c r="I64" s="103">
        <v>260.5</v>
      </c>
      <c r="J64" s="103">
        <v>259</v>
      </c>
      <c r="K64" s="103">
        <v>234.5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24.3</v>
      </c>
      <c r="E65" s="103">
        <v>-0.6</v>
      </c>
      <c r="F65" s="103">
        <v>24.3</v>
      </c>
      <c r="G65" s="103">
        <v>24.35</v>
      </c>
      <c r="H65" s="105">
        <v>4179</v>
      </c>
      <c r="I65" s="103">
        <v>25</v>
      </c>
      <c r="J65" s="103">
        <v>25</v>
      </c>
      <c r="K65" s="103">
        <v>27.35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5244</v>
      </c>
      <c r="E66" s="104">
        <v>-2.41E-2</v>
      </c>
      <c r="F66" s="103">
        <v>7</v>
      </c>
      <c r="G66" s="103">
        <v>34</v>
      </c>
      <c r="H66" s="105">
        <v>1047</v>
      </c>
      <c r="I66" s="103">
        <v>24.9</v>
      </c>
      <c r="J66" s="103">
        <v>24.3</v>
      </c>
      <c r="K66" s="103">
        <v>22.45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513</v>
      </c>
      <c r="E67" s="103" t="s">
        <v>14</v>
      </c>
      <c r="F67" s="103">
        <v>513</v>
      </c>
      <c r="G67" s="103">
        <v>514</v>
      </c>
      <c r="H67" s="103">
        <v>168</v>
      </c>
      <c r="I67" s="103">
        <v>514</v>
      </c>
      <c r="J67" s="103">
        <v>517</v>
      </c>
      <c r="K67" s="103">
        <v>564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259</v>
      </c>
      <c r="E68" s="104" t="s">
        <v>14</v>
      </c>
      <c r="F68" s="103">
        <v>8</v>
      </c>
      <c r="G68" s="103">
        <v>3</v>
      </c>
      <c r="H68" s="103">
        <v>90</v>
      </c>
      <c r="I68" s="103">
        <v>513</v>
      </c>
      <c r="J68" s="103">
        <v>511</v>
      </c>
      <c r="K68" s="103">
        <v>462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9.77</v>
      </c>
      <c r="E69" s="103">
        <v>-0.14000000000000001</v>
      </c>
      <c r="F69" s="103">
        <v>9.75</v>
      </c>
      <c r="G69" s="103">
        <v>9.77</v>
      </c>
      <c r="H69" s="105">
        <v>190</v>
      </c>
      <c r="I69" s="103">
        <v>10</v>
      </c>
      <c r="J69" s="103">
        <v>10</v>
      </c>
      <c r="K69" s="103">
        <v>10.9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249</v>
      </c>
      <c r="E70" s="104">
        <v>-1.41E-2</v>
      </c>
      <c r="F70" s="103">
        <v>4</v>
      </c>
      <c r="G70" s="103">
        <v>17</v>
      </c>
      <c r="H70" s="105">
        <v>57</v>
      </c>
      <c r="I70" s="103">
        <v>9.91</v>
      </c>
      <c r="J70" s="103">
        <v>9.77</v>
      </c>
      <c r="K70" s="103">
        <v>8.92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0.5625</v>
      </c>
      <c r="D71" s="103">
        <v>211</v>
      </c>
      <c r="E71" s="103">
        <v>-3.5</v>
      </c>
      <c r="F71" s="103">
        <v>210.5</v>
      </c>
      <c r="G71" s="103">
        <v>211</v>
      </c>
      <c r="H71" s="103">
        <v>321</v>
      </c>
      <c r="I71" s="103">
        <v>214</v>
      </c>
      <c r="J71" s="103">
        <v>214.5</v>
      </c>
      <c r="K71" s="103">
        <v>235.5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453</v>
      </c>
      <c r="E72" s="104">
        <v>-1.6299999999999999E-2</v>
      </c>
      <c r="F72" s="103">
        <v>14</v>
      </c>
      <c r="G72" s="103">
        <v>7</v>
      </c>
      <c r="H72" s="103">
        <v>128</v>
      </c>
      <c r="I72" s="103">
        <v>214.5</v>
      </c>
      <c r="J72" s="103">
        <v>211</v>
      </c>
      <c r="K72" s="103">
        <v>193.5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51.6</v>
      </c>
      <c r="E73" s="103">
        <v>-0.2</v>
      </c>
      <c r="F73" s="103">
        <v>51.6</v>
      </c>
      <c r="G73" s="103">
        <v>51.8</v>
      </c>
      <c r="H73" s="103">
        <v>34</v>
      </c>
      <c r="I73" s="103">
        <v>51.8</v>
      </c>
      <c r="J73" s="103">
        <v>52</v>
      </c>
      <c r="K73" s="103">
        <v>56.9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38</v>
      </c>
      <c r="E74" s="104">
        <v>-3.8999999999999998E-3</v>
      </c>
      <c r="F74" s="103">
        <v>1</v>
      </c>
      <c r="G74" s="103">
        <v>1</v>
      </c>
      <c r="H74" s="103">
        <v>4</v>
      </c>
      <c r="I74" s="103">
        <v>51.8</v>
      </c>
      <c r="J74" s="103">
        <v>51.5</v>
      </c>
      <c r="K74" s="103">
        <v>46.65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0.60416666666666663</v>
      </c>
      <c r="D75" s="103">
        <v>95</v>
      </c>
      <c r="E75" s="103">
        <v>-6.5</v>
      </c>
      <c r="F75" s="103">
        <v>95</v>
      </c>
      <c r="G75" s="103">
        <v>95.1</v>
      </c>
      <c r="H75" s="103">
        <v>936</v>
      </c>
      <c r="I75" s="103">
        <v>103</v>
      </c>
      <c r="J75" s="103">
        <v>103</v>
      </c>
      <c r="K75" s="103">
        <v>111.5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1281</v>
      </c>
      <c r="E76" s="104">
        <v>-6.4000000000000001E-2</v>
      </c>
      <c r="F76" s="103">
        <v>2</v>
      </c>
      <c r="G76" s="103">
        <v>13</v>
      </c>
      <c r="H76" s="105">
        <v>340</v>
      </c>
      <c r="I76" s="103">
        <v>101.5</v>
      </c>
      <c r="J76" s="103">
        <v>94.6</v>
      </c>
      <c r="K76" s="103">
        <v>91.4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0.5625</v>
      </c>
      <c r="D77" s="103">
        <v>233.5</v>
      </c>
      <c r="E77" s="103">
        <v>-7</v>
      </c>
      <c r="F77" s="103">
        <v>233.5</v>
      </c>
      <c r="G77" s="103">
        <v>234</v>
      </c>
      <c r="H77" s="105">
        <v>417</v>
      </c>
      <c r="I77" s="103">
        <v>240.5</v>
      </c>
      <c r="J77" s="103">
        <v>240.5</v>
      </c>
      <c r="K77" s="103">
        <v>264.5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527</v>
      </c>
      <c r="E78" s="104">
        <v>-2.9100000000000001E-2</v>
      </c>
      <c r="F78" s="103">
        <v>21</v>
      </c>
      <c r="G78" s="103">
        <v>3</v>
      </c>
      <c r="H78" s="105">
        <v>109</v>
      </c>
      <c r="I78" s="103">
        <v>240.5</v>
      </c>
      <c r="J78" s="103">
        <v>233</v>
      </c>
      <c r="K78" s="103">
        <v>216.5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0.5625</v>
      </c>
      <c r="D79" s="103">
        <v>63.5</v>
      </c>
      <c r="E79" s="103">
        <v>-1.2</v>
      </c>
      <c r="F79" s="103">
        <v>62.5</v>
      </c>
      <c r="G79" s="103">
        <v>64</v>
      </c>
      <c r="H79" s="103">
        <v>1</v>
      </c>
      <c r="I79" s="103">
        <v>64</v>
      </c>
      <c r="J79" s="103">
        <v>64</v>
      </c>
      <c r="K79" s="103">
        <v>71.099999999999994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2</v>
      </c>
      <c r="E80" s="104">
        <v>-1.8499999999999999E-2</v>
      </c>
      <c r="F80" s="103">
        <v>2</v>
      </c>
      <c r="G80" s="103">
        <v>1</v>
      </c>
      <c r="H80" s="103">
        <v>1</v>
      </c>
      <c r="I80" s="103">
        <v>64.7</v>
      </c>
      <c r="J80" s="103">
        <v>63.5</v>
      </c>
      <c r="K80" s="103">
        <v>58.3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202.5</v>
      </c>
      <c r="E81" s="103">
        <v>-1.5</v>
      </c>
      <c r="F81" s="103">
        <v>202.5</v>
      </c>
      <c r="G81" s="103">
        <v>203</v>
      </c>
      <c r="H81" s="103">
        <v>18</v>
      </c>
      <c r="I81" s="103">
        <v>204</v>
      </c>
      <c r="J81" s="103">
        <v>204</v>
      </c>
      <c r="K81" s="103">
        <v>224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24</v>
      </c>
      <c r="E82" s="104">
        <v>-7.4000000000000003E-3</v>
      </c>
      <c r="F82" s="103">
        <v>2</v>
      </c>
      <c r="G82" s="103">
        <v>1</v>
      </c>
      <c r="H82" s="103">
        <v>6</v>
      </c>
      <c r="I82" s="103">
        <v>204</v>
      </c>
      <c r="J82" s="103">
        <v>202.5</v>
      </c>
      <c r="K82" s="103">
        <v>184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0.60416666666666663</v>
      </c>
      <c r="D83" s="103">
        <v>72.400000000000006</v>
      </c>
      <c r="E83" s="103">
        <v>4</v>
      </c>
      <c r="F83" s="103">
        <v>72.3</v>
      </c>
      <c r="G83" s="103">
        <v>72.400000000000006</v>
      </c>
      <c r="H83" s="105">
        <v>2601</v>
      </c>
      <c r="I83" s="103">
        <v>70.099999999999994</v>
      </c>
      <c r="J83" s="103">
        <v>73.2</v>
      </c>
      <c r="K83" s="103">
        <v>75.2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7012</v>
      </c>
      <c r="E84" s="104">
        <v>5.8500000000000003E-2</v>
      </c>
      <c r="F84" s="103">
        <v>11</v>
      </c>
      <c r="G84" s="103">
        <v>23</v>
      </c>
      <c r="H84" s="105">
        <v>4328</v>
      </c>
      <c r="I84" s="103">
        <v>68.400000000000006</v>
      </c>
      <c r="J84" s="103">
        <v>70</v>
      </c>
      <c r="K84" s="103">
        <v>61.6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52.5</v>
      </c>
      <c r="E85" s="103">
        <v>1.1000000000000001</v>
      </c>
      <c r="F85" s="103">
        <v>52.5</v>
      </c>
      <c r="G85" s="103">
        <v>52.6</v>
      </c>
      <c r="H85" s="105">
        <v>2869</v>
      </c>
      <c r="I85" s="103">
        <v>52.1</v>
      </c>
      <c r="J85" s="103">
        <v>53.6</v>
      </c>
      <c r="K85" s="103">
        <v>56.5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5723</v>
      </c>
      <c r="E86" s="104">
        <v>2.1399999999999999E-2</v>
      </c>
      <c r="F86" s="103">
        <v>58</v>
      </c>
      <c r="G86" s="103">
        <v>61</v>
      </c>
      <c r="H86" s="105">
        <v>2811</v>
      </c>
      <c r="I86" s="103">
        <v>51.4</v>
      </c>
      <c r="J86" s="103">
        <v>51.8</v>
      </c>
      <c r="K86" s="103">
        <v>46.3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44.1</v>
      </c>
      <c r="E87" s="103">
        <v>-2.1</v>
      </c>
      <c r="F87" s="103">
        <v>44.05</v>
      </c>
      <c r="G87" s="103">
        <v>44.1</v>
      </c>
      <c r="H87" s="105">
        <v>1699</v>
      </c>
      <c r="I87" s="103">
        <v>46.2</v>
      </c>
      <c r="J87" s="103">
        <v>46.5</v>
      </c>
      <c r="K87" s="103">
        <v>50.8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2293</v>
      </c>
      <c r="E88" s="104">
        <v>-4.5499999999999999E-2</v>
      </c>
      <c r="F88" s="105">
        <v>3</v>
      </c>
      <c r="G88" s="103">
        <v>5</v>
      </c>
      <c r="H88" s="105">
        <v>590</v>
      </c>
      <c r="I88" s="103">
        <v>46.2</v>
      </c>
      <c r="J88" s="103">
        <v>44</v>
      </c>
      <c r="K88" s="103">
        <v>41.6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0.60416666666666663</v>
      </c>
      <c r="D89" s="103">
        <v>360</v>
      </c>
      <c r="E89" s="103">
        <v>-12</v>
      </c>
      <c r="F89" s="103">
        <v>360</v>
      </c>
      <c r="G89" s="103">
        <v>361</v>
      </c>
      <c r="H89" s="103">
        <v>516</v>
      </c>
      <c r="I89" s="103">
        <v>372.5</v>
      </c>
      <c r="J89" s="103">
        <v>373</v>
      </c>
      <c r="K89" s="103">
        <v>409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682</v>
      </c>
      <c r="E90" s="104">
        <v>-3.2300000000000002E-2</v>
      </c>
      <c r="F90" s="103">
        <v>4</v>
      </c>
      <c r="G90" s="103">
        <v>12</v>
      </c>
      <c r="H90" s="105">
        <v>160</v>
      </c>
      <c r="I90" s="103">
        <v>372</v>
      </c>
      <c r="J90" s="103">
        <v>360</v>
      </c>
      <c r="K90" s="103">
        <v>335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726</v>
      </c>
      <c r="E91" s="103">
        <v>1</v>
      </c>
      <c r="F91" s="103">
        <v>725</v>
      </c>
      <c r="G91" s="103">
        <v>730</v>
      </c>
      <c r="H91" s="103">
        <v>41</v>
      </c>
      <c r="I91" s="103">
        <v>725</v>
      </c>
      <c r="J91" s="103">
        <v>750</v>
      </c>
      <c r="K91" s="103">
        <v>797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74</v>
      </c>
      <c r="E92" s="104">
        <v>1.4E-3</v>
      </c>
      <c r="F92" s="103">
        <v>22</v>
      </c>
      <c r="G92" s="103">
        <v>1</v>
      </c>
      <c r="H92" s="103">
        <v>33</v>
      </c>
      <c r="I92" s="103">
        <v>725</v>
      </c>
      <c r="J92" s="103">
        <v>725</v>
      </c>
      <c r="K92" s="103">
        <v>653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9.2999999999999999E-2</v>
      </c>
      <c r="G94" s="86">
        <f>F94-M94</f>
        <v>-5.0000000000000044E-3</v>
      </c>
      <c r="H94" s="87">
        <f>F94/M94-1</f>
        <v>-5.1020408163265363E-2</v>
      </c>
      <c r="I94" s="98">
        <v>1846</v>
      </c>
      <c r="J94" s="100">
        <v>0.1</v>
      </c>
      <c r="K94" s="100">
        <v>0.1</v>
      </c>
      <c r="L94" s="100">
        <v>9.2999999999999999E-2</v>
      </c>
      <c r="M94" s="88">
        <v>9.8000000000000004E-2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0.33500000000000002</v>
      </c>
      <c r="G95" s="86">
        <f>F95-M95</f>
        <v>2.0000000000000018E-2</v>
      </c>
      <c r="H95" s="87">
        <f>F95/M95-1</f>
        <v>6.3492063492063489E-2</v>
      </c>
      <c r="I95" s="98">
        <v>689</v>
      </c>
      <c r="J95" s="100">
        <v>0.32500000000000001</v>
      </c>
      <c r="K95" s="100">
        <v>0.34</v>
      </c>
      <c r="L95" s="100">
        <v>0.29499999999999998</v>
      </c>
      <c r="M95" s="88">
        <v>0.315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B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45730.765236342595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21968.05</v>
      </c>
      <c r="E6" s="94">
        <v>21961.68</v>
      </c>
      <c r="F6" s="33">
        <f>(D6-E6)/E6</f>
        <v>2.9005067007619552E-4</v>
      </c>
      <c r="G6" s="34"/>
      <c r="H6" s="91">
        <f>ROUND(348283533120/100000000,2)</f>
        <v>3482.84</v>
      </c>
      <c r="I6" s="91">
        <v>3786.6</v>
      </c>
      <c r="J6" s="35">
        <f>+H6-I6</f>
        <v>-303.75999999999976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23959.98</v>
      </c>
      <c r="E8" s="90">
        <v>23462.65</v>
      </c>
      <c r="F8" s="33">
        <f>(D8-E8)/E8</f>
        <v>2.119666789557011E-2</v>
      </c>
      <c r="G8" s="34"/>
      <c r="H8" s="91">
        <v>2906.13</v>
      </c>
      <c r="I8" s="91">
        <v>2338.33</v>
      </c>
      <c r="J8" s="35">
        <f>+H8-I8</f>
        <v>567.80000000000018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今日收盤3/14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51.8</v>
      </c>
      <c r="E13" s="60">
        <f>I60</f>
        <v>51.8</v>
      </c>
      <c r="F13" s="61">
        <f>D13-E13</f>
        <v>0</v>
      </c>
      <c r="G13" s="62">
        <f>F13/E13</f>
        <v>0</v>
      </c>
      <c r="H13" s="63">
        <f>I59</f>
        <v>51.6</v>
      </c>
      <c r="I13" s="60">
        <f>J60</f>
        <v>51.6</v>
      </c>
      <c r="J13" s="60">
        <f>J59</f>
        <v>51.8</v>
      </c>
      <c r="K13" s="64">
        <f>D60</f>
        <v>5</v>
      </c>
      <c r="L13" s="64">
        <f>+O13*D13</f>
        <v>2454.7838700000002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259</v>
      </c>
      <c r="E14" s="60">
        <f>I64</f>
        <v>260</v>
      </c>
      <c r="F14" s="61">
        <f t="shared" ref="F14:F30" si="0">D14-E14</f>
        <v>-1</v>
      </c>
      <c r="G14" s="62">
        <f>F14/E14</f>
        <v>-3.8461538461538464E-3</v>
      </c>
      <c r="H14" s="63">
        <f>I63</f>
        <v>262</v>
      </c>
      <c r="I14" s="60">
        <f>J64</f>
        <v>259</v>
      </c>
      <c r="J14" s="60">
        <f>J63</f>
        <v>262</v>
      </c>
      <c r="K14" s="73">
        <f>D64</f>
        <v>996</v>
      </c>
      <c r="L14" s="64">
        <f>+O14*D14</f>
        <v>269262.098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197.5</v>
      </c>
      <c r="E15" s="71">
        <f>$I$50</f>
        <v>198</v>
      </c>
      <c r="F15" s="61">
        <f>D15-E15</f>
        <v>-0.5</v>
      </c>
      <c r="G15" s="62">
        <f>F15/E15</f>
        <v>-2.5252525252525255E-3</v>
      </c>
      <c r="H15" s="72">
        <f>$I$49</f>
        <v>198</v>
      </c>
      <c r="I15" s="60">
        <f>J50</f>
        <v>197</v>
      </c>
      <c r="J15" s="71">
        <f>$J$49</f>
        <v>199</v>
      </c>
      <c r="K15" s="73">
        <f>$D$50</f>
        <v>187</v>
      </c>
      <c r="L15" s="64">
        <f>D15*O15</f>
        <v>44085.95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39.799999999999997</v>
      </c>
      <c r="E16" s="71">
        <f>I48</f>
        <v>39.65</v>
      </c>
      <c r="F16" s="61">
        <f>D16-E16</f>
        <v>0.14999999999999858</v>
      </c>
      <c r="G16" s="62">
        <f>F16/E16</f>
        <v>3.7831021437578459E-3</v>
      </c>
      <c r="H16" s="72">
        <f>I47</f>
        <v>40</v>
      </c>
      <c r="I16" s="60">
        <f>J48</f>
        <v>39.799999999999997</v>
      </c>
      <c r="J16" s="71">
        <f>J47</f>
        <v>40</v>
      </c>
      <c r="K16" s="73">
        <f>D48</f>
        <v>2</v>
      </c>
      <c r="L16" s="64">
        <f>D16*O16</f>
        <v>2686.5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24.4</v>
      </c>
      <c r="E17" s="60">
        <f>I66</f>
        <v>24.3</v>
      </c>
      <c r="F17" s="61">
        <f t="shared" si="0"/>
        <v>9.9999999999997868E-2</v>
      </c>
      <c r="G17" s="62">
        <f t="shared" ref="G17:G22" si="1">F17/E17</f>
        <v>4.1152263374484715E-3</v>
      </c>
      <c r="H17" s="63">
        <f>I65</f>
        <v>24.5</v>
      </c>
      <c r="I17" s="60">
        <f>J66</f>
        <v>24.25</v>
      </c>
      <c r="J17" s="60">
        <f>J65</f>
        <v>24.5</v>
      </c>
      <c r="K17" s="64">
        <f>D66</f>
        <v>2430</v>
      </c>
      <c r="L17" s="64">
        <f>+O17*D17</f>
        <v>34573.360399999998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515</v>
      </c>
      <c r="E18" s="60">
        <f>I68</f>
        <v>513</v>
      </c>
      <c r="F18" s="61">
        <f t="shared" si="0"/>
        <v>2</v>
      </c>
      <c r="G18" s="62">
        <f t="shared" si="1"/>
        <v>3.8986354775828458E-3</v>
      </c>
      <c r="H18" s="63">
        <f>I67</f>
        <v>518</v>
      </c>
      <c r="I18" s="60">
        <f>J68</f>
        <v>513</v>
      </c>
      <c r="J18" s="60">
        <f>J67</f>
        <v>518</v>
      </c>
      <c r="K18" s="64">
        <f>D68</f>
        <v>304</v>
      </c>
      <c r="L18" s="64">
        <f>+O18*D18</f>
        <v>54042.04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10.4</v>
      </c>
      <c r="E19" s="60">
        <f>I70</f>
        <v>9.77</v>
      </c>
      <c r="F19" s="61">
        <f t="shared" si="0"/>
        <v>0.63000000000000078</v>
      </c>
      <c r="G19" s="62">
        <f>F19/E19</f>
        <v>6.4483111566018506E-2</v>
      </c>
      <c r="H19" s="63">
        <f>I69</f>
        <v>9.7799999999999994</v>
      </c>
      <c r="I19" s="60">
        <f>J70</f>
        <v>9.77</v>
      </c>
      <c r="J19" s="60">
        <f>J69</f>
        <v>10.7</v>
      </c>
      <c r="K19" s="64">
        <f>D70</f>
        <v>2430</v>
      </c>
      <c r="L19" s="64">
        <f>+O19*D19</f>
        <v>2033.5224000000001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35.950000000000003</v>
      </c>
      <c r="E20" s="60">
        <f>I62</f>
        <v>35.950000000000003</v>
      </c>
      <c r="F20" s="61">
        <f>D20-E20</f>
        <v>0</v>
      </c>
      <c r="G20" s="62">
        <f>F20/E20</f>
        <v>0</v>
      </c>
      <c r="H20" s="63">
        <f>I61</f>
        <v>35.950000000000003</v>
      </c>
      <c r="I20" s="60">
        <f>J62</f>
        <v>35.950000000000003</v>
      </c>
      <c r="J20" s="60">
        <f>J61</f>
        <v>35.950000000000003</v>
      </c>
      <c r="K20" s="64">
        <f>D62</f>
        <v>0</v>
      </c>
      <c r="L20" s="64">
        <f>O20*D20</f>
        <v>2157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207.5</v>
      </c>
      <c r="E21" s="60">
        <f>I72</f>
        <v>211</v>
      </c>
      <c r="F21" s="61">
        <f t="shared" si="0"/>
        <v>-3.5</v>
      </c>
      <c r="G21" s="62">
        <f t="shared" si="1"/>
        <v>-1.6587677725118485E-2</v>
      </c>
      <c r="H21" s="63">
        <f>I71</f>
        <v>210</v>
      </c>
      <c r="I21" s="60">
        <f>J72</f>
        <v>206.5</v>
      </c>
      <c r="J21" s="60">
        <f>J71</f>
        <v>212</v>
      </c>
      <c r="K21" s="64">
        <f>D72</f>
        <v>365</v>
      </c>
      <c r="L21" s="64">
        <f t="shared" ref="L21:L28" si="2">+O21*D21</f>
        <v>26436.122500000001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51.5</v>
      </c>
      <c r="E22" s="60">
        <f>I74</f>
        <v>51.6</v>
      </c>
      <c r="F22" s="61">
        <f t="shared" si="0"/>
        <v>-0.10000000000000142</v>
      </c>
      <c r="G22" s="62">
        <f t="shared" si="1"/>
        <v>-1.9379844961240585E-3</v>
      </c>
      <c r="H22" s="63">
        <f>I73</f>
        <v>51.2</v>
      </c>
      <c r="I22" s="60">
        <f>J74</f>
        <v>51.1</v>
      </c>
      <c r="J22" s="60">
        <f>J73</f>
        <v>51.8</v>
      </c>
      <c r="K22" s="64">
        <f>D74</f>
        <v>196</v>
      </c>
      <c r="L22" s="64">
        <f t="shared" si="2"/>
        <v>18896.500664499999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47.85</v>
      </c>
      <c r="E23" s="60">
        <f>I56</f>
        <v>47.9</v>
      </c>
      <c r="F23" s="61">
        <f>D23-E23</f>
        <v>-4.9999999999997158E-2</v>
      </c>
      <c r="G23" s="62">
        <f>F23/E23</f>
        <v>-1.0438413361168509E-3</v>
      </c>
      <c r="H23" s="63">
        <f>I55</f>
        <v>47.4</v>
      </c>
      <c r="I23" s="60">
        <f>J56</f>
        <v>47.2</v>
      </c>
      <c r="J23" s="60">
        <f>J55</f>
        <v>47.85</v>
      </c>
      <c r="K23" s="64">
        <f>D56</f>
        <v>206</v>
      </c>
      <c r="L23" s="64">
        <f t="shared" si="2"/>
        <v>4379.5190999999995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58.8</v>
      </c>
      <c r="E24" s="60">
        <f>I58</f>
        <v>60</v>
      </c>
      <c r="F24" s="68">
        <f t="shared" si="0"/>
        <v>-1.2000000000000028</v>
      </c>
      <c r="G24" s="69">
        <f>F24/E24</f>
        <v>-2.0000000000000049E-2</v>
      </c>
      <c r="H24" s="63">
        <f>I57</f>
        <v>60</v>
      </c>
      <c r="I24" s="60">
        <f>J58</f>
        <v>58.5</v>
      </c>
      <c r="J24" s="60">
        <f>J57</f>
        <v>60</v>
      </c>
      <c r="K24" s="64">
        <f>D58</f>
        <v>402</v>
      </c>
      <c r="L24" s="64">
        <f t="shared" si="2"/>
        <v>6219.8051999999998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95.7</v>
      </c>
      <c r="E25" s="71">
        <f>I76</f>
        <v>95</v>
      </c>
      <c r="F25" s="68">
        <f t="shared" si="0"/>
        <v>0.70000000000000284</v>
      </c>
      <c r="G25" s="69">
        <f t="shared" ref="G25:G31" si="3">F25/E25</f>
        <v>7.3684210526316091E-3</v>
      </c>
      <c r="H25" s="72">
        <f>I75</f>
        <v>95.5</v>
      </c>
      <c r="I25" s="60">
        <f>J76</f>
        <v>94.4</v>
      </c>
      <c r="J25" s="71">
        <f>J75</f>
        <v>97</v>
      </c>
      <c r="K25" s="73">
        <f>D76</f>
        <v>360</v>
      </c>
      <c r="L25" s="64">
        <f t="shared" si="2"/>
        <v>17226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232</v>
      </c>
      <c r="E26" s="71">
        <f>I78</f>
        <v>233.5</v>
      </c>
      <c r="F26" s="68">
        <f t="shared" si="0"/>
        <v>-1.5</v>
      </c>
      <c r="G26" s="69">
        <f t="shared" si="3"/>
        <v>-6.4239828693790149E-3</v>
      </c>
      <c r="H26" s="72">
        <f>I77</f>
        <v>232</v>
      </c>
      <c r="I26" s="71">
        <f>J78</f>
        <v>230.5</v>
      </c>
      <c r="J26" s="71">
        <f>J77</f>
        <v>233.5</v>
      </c>
      <c r="K26" s="73">
        <f>D78</f>
        <v>235</v>
      </c>
      <c r="L26" s="64">
        <f t="shared" si="2"/>
        <v>19592.631999999998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63.6</v>
      </c>
      <c r="E27" s="71">
        <f>I80</f>
        <v>63.5</v>
      </c>
      <c r="F27" s="68">
        <f>D27-E27</f>
        <v>0.10000000000000142</v>
      </c>
      <c r="G27" s="69">
        <f>F27/E27</f>
        <v>1.5748031496063215E-3</v>
      </c>
      <c r="H27" s="72">
        <f>I79</f>
        <v>63.6</v>
      </c>
      <c r="I27" s="71">
        <f>J80</f>
        <v>63.6</v>
      </c>
      <c r="J27" s="71">
        <f>J79</f>
        <v>63.6</v>
      </c>
      <c r="K27" s="73">
        <f>D80</f>
        <v>2</v>
      </c>
      <c r="L27" s="64">
        <f t="shared" si="2"/>
        <v>2059.9722000000002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200.5</v>
      </c>
      <c r="E28" s="71">
        <f>I82</f>
        <v>202.5</v>
      </c>
      <c r="F28" s="68">
        <f t="shared" si="0"/>
        <v>-2</v>
      </c>
      <c r="G28" s="69">
        <f t="shared" si="3"/>
        <v>-9.876543209876543E-3</v>
      </c>
      <c r="H28" s="72">
        <f>I81</f>
        <v>201</v>
      </c>
      <c r="I28" s="71">
        <f>J82</f>
        <v>198</v>
      </c>
      <c r="J28" s="71">
        <f>J81</f>
        <v>201</v>
      </c>
      <c r="K28" s="73">
        <f>D82</f>
        <v>124</v>
      </c>
      <c r="L28" s="64">
        <f t="shared" si="2"/>
        <v>7919.9504999999999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111</v>
      </c>
      <c r="E29" s="71">
        <f>I46</f>
        <v>116.7</v>
      </c>
      <c r="F29" s="68">
        <f>D29-E29</f>
        <v>-5.7000000000000028</v>
      </c>
      <c r="G29" s="69">
        <f>F29/E29</f>
        <v>-4.8843187660668405E-2</v>
      </c>
      <c r="H29" s="72">
        <f>I45</f>
        <v>117</v>
      </c>
      <c r="I29" s="71">
        <f>J46</f>
        <v>109</v>
      </c>
      <c r="J29" s="71">
        <f>J45</f>
        <v>117</v>
      </c>
      <c r="K29" s="73">
        <f>D46</f>
        <v>30</v>
      </c>
      <c r="L29" s="64">
        <f>+D29*O29</f>
        <v>2273.9594310000002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43.5</v>
      </c>
      <c r="E30" s="71">
        <f>I88</f>
        <v>44.1</v>
      </c>
      <c r="F30" s="68">
        <f t="shared" si="0"/>
        <v>-0.60000000000000142</v>
      </c>
      <c r="G30" s="69">
        <f t="shared" si="3"/>
        <v>-1.3605442176870781E-2</v>
      </c>
      <c r="H30" s="72">
        <f>I87</f>
        <v>43.95</v>
      </c>
      <c r="I30" s="71">
        <f>J88</f>
        <v>43.1</v>
      </c>
      <c r="J30" s="71">
        <f>J87</f>
        <v>44.2</v>
      </c>
      <c r="K30" s="73">
        <f>D88</f>
        <v>877</v>
      </c>
      <c r="L30" s="64">
        <f>D30*O30</f>
        <v>8945.6445000000003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54</v>
      </c>
      <c r="E31" s="71">
        <f>I86</f>
        <v>52.5</v>
      </c>
      <c r="F31" s="68">
        <f>D31-E31</f>
        <v>1.5</v>
      </c>
      <c r="G31" s="69">
        <f t="shared" si="3"/>
        <v>2.8571428571428571E-2</v>
      </c>
      <c r="H31" s="72">
        <f>I85</f>
        <v>53.6</v>
      </c>
      <c r="I31" s="71">
        <f>J86</f>
        <v>53</v>
      </c>
      <c r="J31" s="71">
        <f>J85</f>
        <v>54.7</v>
      </c>
      <c r="K31" s="73">
        <f>D86</f>
        <v>4783</v>
      </c>
      <c r="L31" s="64">
        <f>+O31*D31</f>
        <v>34142.202000000005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369</v>
      </c>
      <c r="E32" s="71">
        <f>I90</f>
        <v>360</v>
      </c>
      <c r="F32" s="68">
        <f>D32-E32</f>
        <v>9</v>
      </c>
      <c r="G32" s="69">
        <f>F32/E32</f>
        <v>2.5000000000000001E-2</v>
      </c>
      <c r="H32" s="72">
        <f>I89</f>
        <v>361</v>
      </c>
      <c r="I32" s="71">
        <f>J90</f>
        <v>360</v>
      </c>
      <c r="J32" s="71">
        <f>J89</f>
        <v>371.5</v>
      </c>
      <c r="K32" s="73">
        <f>D90</f>
        <v>520</v>
      </c>
      <c r="L32" s="64">
        <f>+O32*D32</f>
        <v>93119.732999999993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13.8</v>
      </c>
      <c r="E33" s="71">
        <f>I54</f>
        <v>13.55</v>
      </c>
      <c r="F33" s="68">
        <f>D33-E33</f>
        <v>0.25</v>
      </c>
      <c r="G33" s="69">
        <f>F33/E33</f>
        <v>1.8450184501845018E-2</v>
      </c>
      <c r="H33" s="72">
        <f>I53</f>
        <v>14</v>
      </c>
      <c r="I33" s="71">
        <f>J54</f>
        <v>13.45</v>
      </c>
      <c r="J33" s="71">
        <f>J53</f>
        <v>14</v>
      </c>
      <c r="K33" s="73">
        <f>D54</f>
        <v>27</v>
      </c>
      <c r="L33" s="64">
        <f>+O33*D33</f>
        <v>885.55980000000011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92.5</v>
      </c>
      <c r="E34" s="71">
        <f>$I$52</f>
        <v>92.9</v>
      </c>
      <c r="F34" s="68">
        <f>D34-E34</f>
        <v>-0.40000000000000568</v>
      </c>
      <c r="G34" s="69">
        <f>F34/E34</f>
        <v>-4.3057050592035058E-3</v>
      </c>
      <c r="H34" s="72">
        <f>$I$51</f>
        <v>93.2</v>
      </c>
      <c r="I34" s="71">
        <f>J52</f>
        <v>91</v>
      </c>
      <c r="J34" s="71">
        <f>$J$51</f>
        <v>93.6</v>
      </c>
      <c r="K34" s="73">
        <f>$D$52</f>
        <v>553</v>
      </c>
      <c r="L34" s="64">
        <f>+O34*D34</f>
        <v>11153.465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730</v>
      </c>
      <c r="E35" s="71">
        <f>I92</f>
        <v>726</v>
      </c>
      <c r="F35" s="68">
        <f>D35-E35</f>
        <v>4</v>
      </c>
      <c r="G35" s="69">
        <f>F35/E35</f>
        <v>5.5096418732782371E-3</v>
      </c>
      <c r="H35" s="72">
        <f>I91</f>
        <v>734</v>
      </c>
      <c r="I35" s="71">
        <f>J92</f>
        <v>720</v>
      </c>
      <c r="J35" s="71">
        <f>J91</f>
        <v>743</v>
      </c>
      <c r="K35" s="73">
        <f>D92</f>
        <v>115</v>
      </c>
      <c r="L35" s="64">
        <f>+O35*D35</f>
        <v>49640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0.1</v>
      </c>
      <c r="E38" s="60">
        <f>M94</f>
        <v>9.2999999999999999E-2</v>
      </c>
      <c r="F38" s="61">
        <f>D38-E38</f>
        <v>7.0000000000000062E-3</v>
      </c>
      <c r="G38" s="62">
        <f>F38/E38</f>
        <v>7.5268817204301147E-2</v>
      </c>
      <c r="H38" s="63">
        <f>J94</f>
        <v>9.7000000000000003E-2</v>
      </c>
      <c r="I38" s="60">
        <f>L94</f>
        <v>9.6000000000000002E-2</v>
      </c>
      <c r="J38" s="60">
        <f>K94</f>
        <v>0.10199999999999999</v>
      </c>
      <c r="K38" s="64">
        <f>I94</f>
        <v>3419</v>
      </c>
      <c r="L38" s="64">
        <f>+O38*D38</f>
        <v>263.45320000000004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0.33500000000000002</v>
      </c>
      <c r="E39" s="60">
        <f>M95</f>
        <v>0.33500000000000002</v>
      </c>
      <c r="F39" s="61">
        <f>D39-E39</f>
        <v>0</v>
      </c>
      <c r="G39" s="77">
        <f>F39/E39</f>
        <v>0</v>
      </c>
      <c r="H39" s="63">
        <f>J95</f>
        <v>0.35</v>
      </c>
      <c r="I39" s="60">
        <f>L95</f>
        <v>0.32</v>
      </c>
      <c r="J39" s="60">
        <f>K95</f>
        <v>0.35</v>
      </c>
      <c r="K39" s="64">
        <f>I95</f>
        <v>149</v>
      </c>
      <c r="L39" s="64">
        <f>+O39*D39</f>
        <v>564.85857499999997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0.61976851851851855</v>
      </c>
      <c r="D45" s="103">
        <v>111</v>
      </c>
      <c r="E45" s="103">
        <v>-5.7</v>
      </c>
      <c r="F45" s="103">
        <v>110.5</v>
      </c>
      <c r="G45" s="103">
        <v>112</v>
      </c>
      <c r="H45" s="103">
        <v>17</v>
      </c>
      <c r="I45" s="103">
        <v>117</v>
      </c>
      <c r="J45" s="103">
        <v>117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30</v>
      </c>
      <c r="E46" s="104">
        <v>-4.8800000000000003E-2</v>
      </c>
      <c r="F46" s="105">
        <v>3859</v>
      </c>
      <c r="G46" s="105">
        <v>1998</v>
      </c>
      <c r="H46" s="103">
        <v>6</v>
      </c>
      <c r="I46" s="103">
        <v>116.7</v>
      </c>
      <c r="J46" s="103">
        <v>109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0.51417824074074081</v>
      </c>
      <c r="D47" s="103">
        <v>39.799999999999997</v>
      </c>
      <c r="E47" s="103">
        <v>0.15</v>
      </c>
      <c r="F47" s="103">
        <v>39.65</v>
      </c>
      <c r="G47" s="103">
        <v>39.85</v>
      </c>
      <c r="H47" s="103">
        <v>1</v>
      </c>
      <c r="I47" s="103">
        <v>40</v>
      </c>
      <c r="J47" s="103">
        <v>40</v>
      </c>
      <c r="K47" s="103">
        <v>43.6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2</v>
      </c>
      <c r="E48" s="104">
        <v>3.8E-3</v>
      </c>
      <c r="F48" s="103">
        <v>3</v>
      </c>
      <c r="G48" s="103">
        <v>1</v>
      </c>
      <c r="H48" s="103">
        <v>1</v>
      </c>
      <c r="I48" s="103">
        <v>39.65</v>
      </c>
      <c r="J48" s="103">
        <v>39.799999999999997</v>
      </c>
      <c r="K48" s="103">
        <v>35.700000000000003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197.5</v>
      </c>
      <c r="E49" s="103">
        <v>-0.5</v>
      </c>
      <c r="F49" s="103">
        <v>197</v>
      </c>
      <c r="G49" s="103">
        <v>198</v>
      </c>
      <c r="H49" s="103">
        <v>91</v>
      </c>
      <c r="I49" s="103">
        <v>198</v>
      </c>
      <c r="J49" s="103">
        <v>199</v>
      </c>
      <c r="K49" s="103">
        <v>217.5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187</v>
      </c>
      <c r="E50" s="104">
        <v>-2.5000000000000001E-3</v>
      </c>
      <c r="F50" s="103">
        <v>14</v>
      </c>
      <c r="G50" s="103">
        <v>9</v>
      </c>
      <c r="H50" s="103">
        <v>72</v>
      </c>
      <c r="I50" s="103">
        <v>198</v>
      </c>
      <c r="J50" s="103">
        <v>197</v>
      </c>
      <c r="K50" s="103">
        <v>178.5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0.60416666666666663</v>
      </c>
      <c r="D51" s="103">
        <v>92.5</v>
      </c>
      <c r="E51" s="103">
        <v>-0.4</v>
      </c>
      <c r="F51" s="103">
        <v>92.3</v>
      </c>
      <c r="G51" s="103">
        <v>92.6</v>
      </c>
      <c r="H51" s="105">
        <v>321</v>
      </c>
      <c r="I51" s="103">
        <v>93.2</v>
      </c>
      <c r="J51" s="103">
        <v>93.6</v>
      </c>
      <c r="K51" s="103">
        <v>102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553</v>
      </c>
      <c r="E52" s="104">
        <v>-4.3E-3</v>
      </c>
      <c r="F52" s="103">
        <v>5</v>
      </c>
      <c r="G52" s="103">
        <v>1</v>
      </c>
      <c r="H52" s="105">
        <v>202</v>
      </c>
      <c r="I52" s="103">
        <v>92.9</v>
      </c>
      <c r="J52" s="103">
        <v>91</v>
      </c>
      <c r="K52" s="103">
        <v>83.7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13.8</v>
      </c>
      <c r="E53" s="103">
        <v>0.25</v>
      </c>
      <c r="F53" s="103">
        <v>13.5</v>
      </c>
      <c r="G53" s="103">
        <v>13.8</v>
      </c>
      <c r="H53" s="103">
        <v>6</v>
      </c>
      <c r="I53" s="103">
        <v>14</v>
      </c>
      <c r="J53" s="103">
        <v>14</v>
      </c>
      <c r="K53" s="103">
        <v>14.9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27</v>
      </c>
      <c r="E54" s="104">
        <v>1.8499999999999999E-2</v>
      </c>
      <c r="F54" s="103">
        <v>3</v>
      </c>
      <c r="G54" s="103">
        <v>4</v>
      </c>
      <c r="H54" s="103">
        <v>16</v>
      </c>
      <c r="I54" s="103">
        <v>13.55</v>
      </c>
      <c r="J54" s="103">
        <v>13.45</v>
      </c>
      <c r="K54" s="103">
        <v>12.2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47.85</v>
      </c>
      <c r="E55" s="103">
        <v>-0.05</v>
      </c>
      <c r="F55" s="103">
        <v>47.75</v>
      </c>
      <c r="G55" s="103">
        <v>47.9</v>
      </c>
      <c r="H55" s="105">
        <v>103</v>
      </c>
      <c r="I55" s="103">
        <v>47.4</v>
      </c>
      <c r="J55" s="103">
        <v>47.85</v>
      </c>
      <c r="K55" s="103">
        <v>52.6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206</v>
      </c>
      <c r="E56" s="104">
        <v>-1E-3</v>
      </c>
      <c r="F56" s="103">
        <v>1</v>
      </c>
      <c r="G56" s="103">
        <v>3</v>
      </c>
      <c r="H56" s="105">
        <v>86</v>
      </c>
      <c r="I56" s="103">
        <v>47.9</v>
      </c>
      <c r="J56" s="103">
        <v>47.2</v>
      </c>
      <c r="K56" s="103">
        <v>43.15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0.5625</v>
      </c>
      <c r="D57" s="103">
        <v>58.8</v>
      </c>
      <c r="E57" s="103">
        <v>-1.2</v>
      </c>
      <c r="F57" s="103">
        <v>58.7</v>
      </c>
      <c r="G57" s="103">
        <v>59</v>
      </c>
      <c r="H57" s="105">
        <v>229</v>
      </c>
      <c r="I57" s="103">
        <v>60</v>
      </c>
      <c r="J57" s="103">
        <v>60</v>
      </c>
      <c r="K57" s="103">
        <v>66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402</v>
      </c>
      <c r="E58" s="104">
        <v>-0.02</v>
      </c>
      <c r="F58" s="103">
        <v>6</v>
      </c>
      <c r="G58" s="103">
        <v>4</v>
      </c>
      <c r="H58" s="105">
        <v>130</v>
      </c>
      <c r="I58" s="103">
        <v>60</v>
      </c>
      <c r="J58" s="103">
        <v>58.5</v>
      </c>
      <c r="K58" s="103">
        <v>54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0.55608796296296303</v>
      </c>
      <c r="D59" s="103">
        <v>51.8</v>
      </c>
      <c r="E59" s="103" t="s">
        <v>14</v>
      </c>
      <c r="F59" s="103">
        <v>51.1</v>
      </c>
      <c r="G59" s="103">
        <v>52</v>
      </c>
      <c r="H59" s="103" t="s">
        <v>14</v>
      </c>
      <c r="I59" s="103">
        <v>51.6</v>
      </c>
      <c r="J59" s="103">
        <v>51.8</v>
      </c>
      <c r="K59" s="103">
        <v>56.9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5</v>
      </c>
      <c r="E60" s="104" t="s">
        <v>14</v>
      </c>
      <c r="F60" s="103">
        <v>1</v>
      </c>
      <c r="G60" s="103">
        <v>7</v>
      </c>
      <c r="H60" s="103">
        <v>5</v>
      </c>
      <c r="I60" s="103">
        <v>51.8</v>
      </c>
      <c r="J60" s="103">
        <v>51.6</v>
      </c>
      <c r="K60" s="103">
        <v>46.65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0.47548611111111111</v>
      </c>
      <c r="D61" s="103">
        <v>35.950000000000003</v>
      </c>
      <c r="E61" s="103" t="s">
        <v>14</v>
      </c>
      <c r="F61" s="103">
        <v>35</v>
      </c>
      <c r="G61" s="103">
        <v>35.950000000000003</v>
      </c>
      <c r="H61" s="103" t="s">
        <v>14</v>
      </c>
      <c r="I61" s="103">
        <v>35.950000000000003</v>
      </c>
      <c r="J61" s="103">
        <v>35.950000000000003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0</v>
      </c>
      <c r="E62" s="104" t="s">
        <v>14</v>
      </c>
      <c r="F62" s="105">
        <v>3</v>
      </c>
      <c r="G62" s="105">
        <v>3000</v>
      </c>
      <c r="H62" s="103" t="s">
        <v>14</v>
      </c>
      <c r="I62" s="103">
        <v>35.950000000000003</v>
      </c>
      <c r="J62" s="103">
        <v>35.950000000000003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259</v>
      </c>
      <c r="E63" s="103">
        <v>-1</v>
      </c>
      <c r="F63" s="103">
        <v>259</v>
      </c>
      <c r="G63" s="103">
        <v>259.5</v>
      </c>
      <c r="H63" s="105">
        <v>721</v>
      </c>
      <c r="I63" s="103">
        <v>262</v>
      </c>
      <c r="J63" s="103">
        <v>262</v>
      </c>
      <c r="K63" s="103">
        <v>286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996</v>
      </c>
      <c r="E64" s="104">
        <v>-3.8E-3</v>
      </c>
      <c r="F64" s="103">
        <v>167</v>
      </c>
      <c r="G64" s="103">
        <v>1</v>
      </c>
      <c r="H64" s="105">
        <v>255</v>
      </c>
      <c r="I64" s="103">
        <v>260</v>
      </c>
      <c r="J64" s="103">
        <v>259</v>
      </c>
      <c r="K64" s="103">
        <v>234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24.4</v>
      </c>
      <c r="E65" s="103">
        <v>0.1</v>
      </c>
      <c r="F65" s="103">
        <v>24.35</v>
      </c>
      <c r="G65" s="103">
        <v>24.4</v>
      </c>
      <c r="H65" s="105">
        <v>1234</v>
      </c>
      <c r="I65" s="103">
        <v>24.5</v>
      </c>
      <c r="J65" s="103">
        <v>24.5</v>
      </c>
      <c r="K65" s="103">
        <v>26.7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2430</v>
      </c>
      <c r="E66" s="104">
        <v>4.1000000000000003E-3</v>
      </c>
      <c r="F66" s="103">
        <v>127</v>
      </c>
      <c r="G66" s="103">
        <v>7</v>
      </c>
      <c r="H66" s="105">
        <v>1054</v>
      </c>
      <c r="I66" s="103">
        <v>24.3</v>
      </c>
      <c r="J66" s="103">
        <v>24.25</v>
      </c>
      <c r="K66" s="103">
        <v>21.9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515</v>
      </c>
      <c r="E67" s="103">
        <v>2</v>
      </c>
      <c r="F67" s="103">
        <v>515</v>
      </c>
      <c r="G67" s="103">
        <v>516</v>
      </c>
      <c r="H67" s="103">
        <v>169</v>
      </c>
      <c r="I67" s="103">
        <v>518</v>
      </c>
      <c r="J67" s="103">
        <v>518</v>
      </c>
      <c r="K67" s="103">
        <v>564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304</v>
      </c>
      <c r="E68" s="104">
        <v>3.8999999999999998E-3</v>
      </c>
      <c r="F68" s="103">
        <v>3</v>
      </c>
      <c r="G68" s="103">
        <v>3</v>
      </c>
      <c r="H68" s="103">
        <v>125</v>
      </c>
      <c r="I68" s="103">
        <v>513</v>
      </c>
      <c r="J68" s="103">
        <v>513</v>
      </c>
      <c r="K68" s="103">
        <v>462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10.4</v>
      </c>
      <c r="E69" s="103">
        <v>0.63</v>
      </c>
      <c r="F69" s="103">
        <v>10.4</v>
      </c>
      <c r="G69" s="103">
        <v>10.45</v>
      </c>
      <c r="H69" s="105">
        <v>715</v>
      </c>
      <c r="I69" s="103">
        <v>9.7799999999999994</v>
      </c>
      <c r="J69" s="103">
        <v>10.7</v>
      </c>
      <c r="K69" s="103">
        <v>10.7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2430</v>
      </c>
      <c r="E70" s="104">
        <v>6.4500000000000002E-2</v>
      </c>
      <c r="F70" s="103">
        <v>25</v>
      </c>
      <c r="G70" s="103">
        <v>7</v>
      </c>
      <c r="H70" s="105">
        <v>1680</v>
      </c>
      <c r="I70" s="103">
        <v>9.77</v>
      </c>
      <c r="J70" s="103">
        <v>9.77</v>
      </c>
      <c r="K70" s="103">
        <v>8.8000000000000007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0.5625</v>
      </c>
      <c r="D71" s="103">
        <v>207.5</v>
      </c>
      <c r="E71" s="103">
        <v>-3.5</v>
      </c>
      <c r="F71" s="103">
        <v>207</v>
      </c>
      <c r="G71" s="103">
        <v>208</v>
      </c>
      <c r="H71" s="103">
        <v>181</v>
      </c>
      <c r="I71" s="103">
        <v>210</v>
      </c>
      <c r="J71" s="103">
        <v>212</v>
      </c>
      <c r="K71" s="103">
        <v>232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365</v>
      </c>
      <c r="E72" s="104">
        <v>-1.66E-2</v>
      </c>
      <c r="F72" s="103">
        <v>2</v>
      </c>
      <c r="G72" s="103">
        <v>16</v>
      </c>
      <c r="H72" s="103">
        <v>111</v>
      </c>
      <c r="I72" s="103">
        <v>211</v>
      </c>
      <c r="J72" s="103">
        <v>206.5</v>
      </c>
      <c r="K72" s="103">
        <v>190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51.5</v>
      </c>
      <c r="E73" s="103">
        <v>-0.1</v>
      </c>
      <c r="F73" s="103">
        <v>51.5</v>
      </c>
      <c r="G73" s="103">
        <v>51.6</v>
      </c>
      <c r="H73" s="103">
        <v>126</v>
      </c>
      <c r="I73" s="103">
        <v>51.2</v>
      </c>
      <c r="J73" s="103">
        <v>51.8</v>
      </c>
      <c r="K73" s="103">
        <v>56.7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196</v>
      </c>
      <c r="E74" s="104">
        <v>-1.9E-3</v>
      </c>
      <c r="F74" s="103">
        <v>2</v>
      </c>
      <c r="G74" s="103">
        <v>14</v>
      </c>
      <c r="H74" s="103">
        <v>59</v>
      </c>
      <c r="I74" s="103">
        <v>51.6</v>
      </c>
      <c r="J74" s="103">
        <v>51.1</v>
      </c>
      <c r="K74" s="103">
        <v>46.45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95.7</v>
      </c>
      <c r="E75" s="103">
        <v>0.7</v>
      </c>
      <c r="F75" s="103">
        <v>95.6</v>
      </c>
      <c r="G75" s="103">
        <v>95.7</v>
      </c>
      <c r="H75" s="103">
        <v>173</v>
      </c>
      <c r="I75" s="103">
        <v>95.5</v>
      </c>
      <c r="J75" s="103">
        <v>97</v>
      </c>
      <c r="K75" s="103">
        <v>104.5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360</v>
      </c>
      <c r="E76" s="104">
        <v>7.4000000000000003E-3</v>
      </c>
      <c r="F76" s="103">
        <v>8</v>
      </c>
      <c r="G76" s="103">
        <v>4</v>
      </c>
      <c r="H76" s="105">
        <v>159</v>
      </c>
      <c r="I76" s="103">
        <v>95</v>
      </c>
      <c r="J76" s="103">
        <v>94.4</v>
      </c>
      <c r="K76" s="103">
        <v>85.5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0.60416666666666663</v>
      </c>
      <c r="D77" s="103">
        <v>232</v>
      </c>
      <c r="E77" s="103">
        <v>-1.5</v>
      </c>
      <c r="F77" s="103">
        <v>231.5</v>
      </c>
      <c r="G77" s="103">
        <v>232</v>
      </c>
      <c r="H77" s="105">
        <v>109</v>
      </c>
      <c r="I77" s="103">
        <v>232</v>
      </c>
      <c r="J77" s="103">
        <v>233.5</v>
      </c>
      <c r="K77" s="103">
        <v>256.5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235</v>
      </c>
      <c r="E78" s="104">
        <v>-6.4000000000000003E-3</v>
      </c>
      <c r="F78" s="103">
        <v>16</v>
      </c>
      <c r="G78" s="103">
        <v>1</v>
      </c>
      <c r="H78" s="105">
        <v>79</v>
      </c>
      <c r="I78" s="103">
        <v>233.5</v>
      </c>
      <c r="J78" s="103">
        <v>230.5</v>
      </c>
      <c r="K78" s="103">
        <v>210.5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0.51068287037037041</v>
      </c>
      <c r="D79" s="103">
        <v>63.6</v>
      </c>
      <c r="E79" s="103">
        <v>0.1</v>
      </c>
      <c r="F79" s="103">
        <v>63.6</v>
      </c>
      <c r="G79" s="103">
        <v>64.400000000000006</v>
      </c>
      <c r="H79" s="103">
        <v>2</v>
      </c>
      <c r="I79" s="103">
        <v>63.6</v>
      </c>
      <c r="J79" s="103">
        <v>63.6</v>
      </c>
      <c r="K79" s="103">
        <v>69.8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2</v>
      </c>
      <c r="E80" s="104">
        <v>1.6000000000000001E-3</v>
      </c>
      <c r="F80" s="103">
        <v>2</v>
      </c>
      <c r="G80" s="103">
        <v>1</v>
      </c>
      <c r="H80" s="103" t="s">
        <v>14</v>
      </c>
      <c r="I80" s="103">
        <v>63.5</v>
      </c>
      <c r="J80" s="103">
        <v>63.6</v>
      </c>
      <c r="K80" s="103">
        <v>57.2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200.5</v>
      </c>
      <c r="E81" s="103">
        <v>-2</v>
      </c>
      <c r="F81" s="103">
        <v>200</v>
      </c>
      <c r="G81" s="103">
        <v>200.5</v>
      </c>
      <c r="H81" s="103">
        <v>88</v>
      </c>
      <c r="I81" s="103">
        <v>201</v>
      </c>
      <c r="J81" s="103">
        <v>201</v>
      </c>
      <c r="K81" s="103">
        <v>222.5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124</v>
      </c>
      <c r="E82" s="104">
        <v>-9.9000000000000008E-3</v>
      </c>
      <c r="F82" s="103">
        <v>9</v>
      </c>
      <c r="G82" s="103">
        <v>1</v>
      </c>
      <c r="H82" s="103">
        <v>29</v>
      </c>
      <c r="I82" s="103">
        <v>202.5</v>
      </c>
      <c r="J82" s="103">
        <v>198</v>
      </c>
      <c r="K82" s="103">
        <v>182.5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0.60416666666666663</v>
      </c>
      <c r="D83" s="103">
        <v>73.400000000000006</v>
      </c>
      <c r="E83" s="103">
        <v>1</v>
      </c>
      <c r="F83" s="103">
        <v>73.3</v>
      </c>
      <c r="G83" s="103">
        <v>73.400000000000006</v>
      </c>
      <c r="H83" s="105">
        <v>1759</v>
      </c>
      <c r="I83" s="103">
        <v>72.5</v>
      </c>
      <c r="J83" s="103">
        <v>73.5</v>
      </c>
      <c r="K83" s="103">
        <v>79.599999999999994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4550</v>
      </c>
      <c r="E84" s="104">
        <v>1.38E-2</v>
      </c>
      <c r="F84" s="103">
        <v>13</v>
      </c>
      <c r="G84" s="103">
        <v>300</v>
      </c>
      <c r="H84" s="105">
        <v>2600</v>
      </c>
      <c r="I84" s="103">
        <v>72.400000000000006</v>
      </c>
      <c r="J84" s="103">
        <v>72.099999999999994</v>
      </c>
      <c r="K84" s="103">
        <v>65.2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54</v>
      </c>
      <c r="E85" s="103">
        <v>1.5</v>
      </c>
      <c r="F85" s="103">
        <v>53.9</v>
      </c>
      <c r="G85" s="103">
        <v>54</v>
      </c>
      <c r="H85" s="105">
        <v>2400</v>
      </c>
      <c r="I85" s="103">
        <v>53.6</v>
      </c>
      <c r="J85" s="103">
        <v>54.7</v>
      </c>
      <c r="K85" s="103">
        <v>57.7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4783</v>
      </c>
      <c r="E86" s="104">
        <v>2.86E-2</v>
      </c>
      <c r="F86" s="103">
        <v>9</v>
      </c>
      <c r="G86" s="103">
        <v>4</v>
      </c>
      <c r="H86" s="105">
        <v>1636</v>
      </c>
      <c r="I86" s="103">
        <v>52.5</v>
      </c>
      <c r="J86" s="103">
        <v>53</v>
      </c>
      <c r="K86" s="103">
        <v>47.25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43.5</v>
      </c>
      <c r="E87" s="103">
        <v>-0.6</v>
      </c>
      <c r="F87" s="103">
        <v>43.5</v>
      </c>
      <c r="G87" s="103">
        <v>43.55</v>
      </c>
      <c r="H87" s="105">
        <v>562</v>
      </c>
      <c r="I87" s="103">
        <v>43.95</v>
      </c>
      <c r="J87" s="103">
        <v>44.2</v>
      </c>
      <c r="K87" s="103">
        <v>48.5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877</v>
      </c>
      <c r="E88" s="104">
        <v>-1.3599999999999999E-2</v>
      </c>
      <c r="F88" s="105">
        <v>8</v>
      </c>
      <c r="G88" s="103">
        <v>3</v>
      </c>
      <c r="H88" s="105">
        <v>250</v>
      </c>
      <c r="I88" s="103">
        <v>44.1</v>
      </c>
      <c r="J88" s="103">
        <v>43.1</v>
      </c>
      <c r="K88" s="103">
        <v>39.700000000000003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369</v>
      </c>
      <c r="E89" s="103">
        <v>9</v>
      </c>
      <c r="F89" s="103">
        <v>369</v>
      </c>
      <c r="G89" s="103">
        <v>369.5</v>
      </c>
      <c r="H89" s="103">
        <v>245</v>
      </c>
      <c r="I89" s="103">
        <v>361</v>
      </c>
      <c r="J89" s="103">
        <v>371.5</v>
      </c>
      <c r="K89" s="103">
        <v>396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520</v>
      </c>
      <c r="E90" s="104">
        <v>2.5000000000000001E-2</v>
      </c>
      <c r="F90" s="103">
        <v>1</v>
      </c>
      <c r="G90" s="103">
        <v>4</v>
      </c>
      <c r="H90" s="105">
        <v>241</v>
      </c>
      <c r="I90" s="103">
        <v>360</v>
      </c>
      <c r="J90" s="103">
        <v>360</v>
      </c>
      <c r="K90" s="103">
        <v>324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730</v>
      </c>
      <c r="E91" s="103">
        <v>4</v>
      </c>
      <c r="F91" s="103">
        <v>729</v>
      </c>
      <c r="G91" s="103">
        <v>743</v>
      </c>
      <c r="H91" s="103">
        <v>15</v>
      </c>
      <c r="I91" s="103">
        <v>734</v>
      </c>
      <c r="J91" s="103">
        <v>743</v>
      </c>
      <c r="K91" s="103">
        <v>798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115</v>
      </c>
      <c r="E92" s="104">
        <v>5.4999999999999997E-3</v>
      </c>
      <c r="F92" s="103">
        <v>2</v>
      </c>
      <c r="G92" s="103">
        <v>3</v>
      </c>
      <c r="H92" s="103">
        <v>94</v>
      </c>
      <c r="I92" s="103">
        <v>726</v>
      </c>
      <c r="J92" s="103">
        <v>720</v>
      </c>
      <c r="K92" s="103">
        <v>654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0.1</v>
      </c>
      <c r="G94" s="86">
        <f>F94-M94</f>
        <v>7.0000000000000062E-3</v>
      </c>
      <c r="H94" s="87">
        <f>F94/M94-1</f>
        <v>7.526881720430123E-2</v>
      </c>
      <c r="I94" s="98">
        <v>3419</v>
      </c>
      <c r="J94" s="100">
        <v>9.7000000000000003E-2</v>
      </c>
      <c r="K94" s="100">
        <v>0.10199999999999999</v>
      </c>
      <c r="L94" s="100">
        <v>9.6000000000000002E-2</v>
      </c>
      <c r="M94" s="88">
        <v>9.2999999999999999E-2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0.33500000000000002</v>
      </c>
      <c r="G95" s="86">
        <f>F95-M95</f>
        <v>0</v>
      </c>
      <c r="H95" s="87">
        <f>F95/M95-1</f>
        <v>0</v>
      </c>
      <c r="I95" s="98">
        <v>149</v>
      </c>
      <c r="J95" s="100">
        <v>0.35</v>
      </c>
      <c r="K95" s="100">
        <v>0.35</v>
      </c>
      <c r="L95" s="100">
        <v>0.32</v>
      </c>
      <c r="M95" s="88">
        <v>0.33500000000000002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C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45733.760164004627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22118.63</v>
      </c>
      <c r="E6" s="94">
        <v>21968.05</v>
      </c>
      <c r="F6" s="33">
        <f>(D6-E6)/E6</f>
        <v>6.8545000580389134E-3</v>
      </c>
      <c r="G6" s="34"/>
      <c r="H6" s="91">
        <f>ROUND(310401135708/100000000,2)</f>
        <v>3104.01</v>
      </c>
      <c r="I6" s="91">
        <v>3482.84</v>
      </c>
      <c r="J6" s="35">
        <f>+H6-I6</f>
        <v>-378.82999999999993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24145.57</v>
      </c>
      <c r="E8" s="90">
        <v>23959.98</v>
      </c>
      <c r="F8" s="33">
        <f>(D8-E8)/E8</f>
        <v>7.7458328429322624E-3</v>
      </c>
      <c r="G8" s="34"/>
      <c r="H8" s="91">
        <v>2448.2199999999998</v>
      </c>
      <c r="I8" s="91">
        <v>2906.13</v>
      </c>
      <c r="J8" s="35">
        <f>+H8-I8</f>
        <v>-457.91000000000031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今日收盤3/17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51.9</v>
      </c>
      <c r="E13" s="60">
        <f>I60</f>
        <v>51.8</v>
      </c>
      <c r="F13" s="61">
        <f>D13-E13</f>
        <v>0.10000000000000142</v>
      </c>
      <c r="G13" s="62">
        <f>F13/E13</f>
        <v>1.9305019305019581E-3</v>
      </c>
      <c r="H13" s="63">
        <f>I59</f>
        <v>51.1</v>
      </c>
      <c r="I13" s="60">
        <f>J60</f>
        <v>51.1</v>
      </c>
      <c r="J13" s="60">
        <f>J59</f>
        <v>51.9</v>
      </c>
      <c r="K13" s="64">
        <f>D60</f>
        <v>7</v>
      </c>
      <c r="L13" s="64">
        <f>+O13*D13</f>
        <v>2459.5228350000002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259.5</v>
      </c>
      <c r="E14" s="60">
        <f>I64</f>
        <v>259</v>
      </c>
      <c r="F14" s="61">
        <f t="shared" ref="F14:F30" si="0">D14-E14</f>
        <v>0.5</v>
      </c>
      <c r="G14" s="62">
        <f>F14/E14</f>
        <v>1.9305019305019305E-3</v>
      </c>
      <c r="H14" s="63">
        <f>I63</f>
        <v>260</v>
      </c>
      <c r="I14" s="60">
        <f>J64</f>
        <v>258</v>
      </c>
      <c r="J14" s="60">
        <f>J63</f>
        <v>260.5</v>
      </c>
      <c r="K14" s="73">
        <f>D64</f>
        <v>1588</v>
      </c>
      <c r="L14" s="64">
        <f>+O14*D14</f>
        <v>269781.90900000004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196.5</v>
      </c>
      <c r="E15" s="71">
        <f>$I$50</f>
        <v>197.5</v>
      </c>
      <c r="F15" s="61">
        <f>D15-E15</f>
        <v>-1</v>
      </c>
      <c r="G15" s="62">
        <f>F15/E15</f>
        <v>-5.0632911392405064E-3</v>
      </c>
      <c r="H15" s="72">
        <f>$I$49</f>
        <v>197.5</v>
      </c>
      <c r="I15" s="60">
        <f>J50</f>
        <v>196.5</v>
      </c>
      <c r="J15" s="71">
        <f>$J$49</f>
        <v>199</v>
      </c>
      <c r="K15" s="73">
        <f>$D$50</f>
        <v>157</v>
      </c>
      <c r="L15" s="64">
        <f>D15*O15</f>
        <v>43862.73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39.799999999999997</v>
      </c>
      <c r="E16" s="71">
        <f>I48</f>
        <v>39.799999999999997</v>
      </c>
      <c r="F16" s="61">
        <f>D16-E16</f>
        <v>0</v>
      </c>
      <c r="G16" s="62">
        <f>F16/E16</f>
        <v>0</v>
      </c>
      <c r="H16" s="72">
        <f>I47</f>
        <v>39.950000000000003</v>
      </c>
      <c r="I16" s="60">
        <f>J48</f>
        <v>39.799999999999997</v>
      </c>
      <c r="J16" s="71">
        <f>J47</f>
        <v>40</v>
      </c>
      <c r="K16" s="73">
        <f>D48</f>
        <v>11</v>
      </c>
      <c r="L16" s="64">
        <f>D16*O16</f>
        <v>2686.5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24.55</v>
      </c>
      <c r="E17" s="60">
        <f>I66</f>
        <v>24.4</v>
      </c>
      <c r="F17" s="61">
        <f t="shared" si="0"/>
        <v>0.15000000000000213</v>
      </c>
      <c r="G17" s="62">
        <f t="shared" ref="G17:G22" si="1">F17/E17</f>
        <v>6.1475409836066449E-3</v>
      </c>
      <c r="H17" s="63">
        <f>I65</f>
        <v>24.45</v>
      </c>
      <c r="I17" s="60">
        <f>J66</f>
        <v>24.45</v>
      </c>
      <c r="J17" s="60">
        <f>J65</f>
        <v>24.8</v>
      </c>
      <c r="K17" s="64">
        <f>D66</f>
        <v>1815</v>
      </c>
      <c r="L17" s="64">
        <f>+O17*D17</f>
        <v>34785.901550000002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500</v>
      </c>
      <c r="E18" s="60">
        <f>I68</f>
        <v>515</v>
      </c>
      <c r="F18" s="61">
        <f t="shared" si="0"/>
        <v>-15</v>
      </c>
      <c r="G18" s="62">
        <f t="shared" si="1"/>
        <v>-2.9126213592233011E-2</v>
      </c>
      <c r="H18" s="63">
        <f>I67</f>
        <v>518</v>
      </c>
      <c r="I18" s="60">
        <f>J68</f>
        <v>500</v>
      </c>
      <c r="J18" s="60">
        <f>J67</f>
        <v>518</v>
      </c>
      <c r="K18" s="64">
        <f>D68</f>
        <v>266</v>
      </c>
      <c r="L18" s="64">
        <f>+O18*D18</f>
        <v>52468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10.55</v>
      </c>
      <c r="E19" s="60">
        <f>I70</f>
        <v>10.4</v>
      </c>
      <c r="F19" s="61">
        <f t="shared" si="0"/>
        <v>0.15000000000000036</v>
      </c>
      <c r="G19" s="62">
        <f>F19/E19</f>
        <v>1.4423076923076957E-2</v>
      </c>
      <c r="H19" s="63">
        <f>I69</f>
        <v>10.45</v>
      </c>
      <c r="I19" s="60">
        <f>J70</f>
        <v>10.35</v>
      </c>
      <c r="J19" s="60">
        <f>J69</f>
        <v>10.9</v>
      </c>
      <c r="K19" s="64">
        <f>D70</f>
        <v>1723</v>
      </c>
      <c r="L19" s="64">
        <f>+O19*D19</f>
        <v>2062.8520500000004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36</v>
      </c>
      <c r="E20" s="60">
        <f>I62</f>
        <v>35.950000000000003</v>
      </c>
      <c r="F20" s="61">
        <f>D20-E20</f>
        <v>4.9999999999997158E-2</v>
      </c>
      <c r="G20" s="62">
        <f>F20/E20</f>
        <v>1.3908205841445661E-3</v>
      </c>
      <c r="H20" s="63">
        <f>I61</f>
        <v>36</v>
      </c>
      <c r="I20" s="60">
        <f>J62</f>
        <v>35.200000000000003</v>
      </c>
      <c r="J20" s="60">
        <f>J61</f>
        <v>36</v>
      </c>
      <c r="K20" s="64">
        <f>D62</f>
        <v>1</v>
      </c>
      <c r="L20" s="64">
        <f>O20*D20</f>
        <v>2160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208.5</v>
      </c>
      <c r="E21" s="60">
        <f>I72</f>
        <v>207.5</v>
      </c>
      <c r="F21" s="61">
        <f t="shared" si="0"/>
        <v>1</v>
      </c>
      <c r="G21" s="62">
        <f t="shared" si="1"/>
        <v>4.8192771084337354E-3</v>
      </c>
      <c r="H21" s="63">
        <f>I71</f>
        <v>207.5</v>
      </c>
      <c r="I21" s="60">
        <f>J72</f>
        <v>205.5</v>
      </c>
      <c r="J21" s="60">
        <f>J71</f>
        <v>209</v>
      </c>
      <c r="K21" s="64">
        <f>D72</f>
        <v>194</v>
      </c>
      <c r="L21" s="64">
        <f t="shared" ref="L21:L28" si="2">+O21*D21</f>
        <v>26563.5255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51.5</v>
      </c>
      <c r="E22" s="60">
        <f>I74</f>
        <v>51.5</v>
      </c>
      <c r="F22" s="61">
        <f t="shared" si="0"/>
        <v>0</v>
      </c>
      <c r="G22" s="62">
        <f t="shared" si="1"/>
        <v>0</v>
      </c>
      <c r="H22" s="63">
        <f>I73</f>
        <v>51.5</v>
      </c>
      <c r="I22" s="60">
        <f>J74</f>
        <v>50.9</v>
      </c>
      <c r="J22" s="60">
        <f>J73</f>
        <v>52.1</v>
      </c>
      <c r="K22" s="64">
        <f>D74</f>
        <v>49</v>
      </c>
      <c r="L22" s="64">
        <f t="shared" si="2"/>
        <v>18896.500664499999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49</v>
      </c>
      <c r="E23" s="60">
        <f>I56</f>
        <v>47.85</v>
      </c>
      <c r="F23" s="61">
        <f>D23-E23</f>
        <v>1.1499999999999986</v>
      </c>
      <c r="G23" s="62">
        <f>F23/E23</f>
        <v>2.4033437826541243E-2</v>
      </c>
      <c r="H23" s="63">
        <f>I55</f>
        <v>48.1</v>
      </c>
      <c r="I23" s="60">
        <f>J56</f>
        <v>48.1</v>
      </c>
      <c r="J23" s="60">
        <f>J55</f>
        <v>49.1</v>
      </c>
      <c r="K23" s="64">
        <f>D56</f>
        <v>155</v>
      </c>
      <c r="L23" s="64">
        <f t="shared" si="2"/>
        <v>4484.7739999999994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59.5</v>
      </c>
      <c r="E24" s="60">
        <f>I58</f>
        <v>58.8</v>
      </c>
      <c r="F24" s="68">
        <f t="shared" si="0"/>
        <v>0.70000000000000284</v>
      </c>
      <c r="G24" s="69">
        <f>F24/E24</f>
        <v>1.1904761904761954E-2</v>
      </c>
      <c r="H24" s="63">
        <f>I57</f>
        <v>58.8</v>
      </c>
      <c r="I24" s="60">
        <f>J58</f>
        <v>58.8</v>
      </c>
      <c r="J24" s="60">
        <f>J57</f>
        <v>59.7</v>
      </c>
      <c r="K24" s="64">
        <f>D58</f>
        <v>143</v>
      </c>
      <c r="L24" s="64">
        <f t="shared" si="2"/>
        <v>6293.8504999999996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96.8</v>
      </c>
      <c r="E25" s="71">
        <f>I76</f>
        <v>95.7</v>
      </c>
      <c r="F25" s="68">
        <f t="shared" si="0"/>
        <v>1.0999999999999943</v>
      </c>
      <c r="G25" s="69">
        <f t="shared" ref="G25:G31" si="3">F25/E25</f>
        <v>1.1494252873563159E-2</v>
      </c>
      <c r="H25" s="72">
        <f>I75</f>
        <v>96</v>
      </c>
      <c r="I25" s="60">
        <f>J76</f>
        <v>95.8</v>
      </c>
      <c r="J25" s="71">
        <f>J75</f>
        <v>98.6</v>
      </c>
      <c r="K25" s="73">
        <f>D76</f>
        <v>416</v>
      </c>
      <c r="L25" s="64">
        <f t="shared" si="2"/>
        <v>17424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230.5</v>
      </c>
      <c r="E26" s="71">
        <f>I78</f>
        <v>232</v>
      </c>
      <c r="F26" s="68">
        <f t="shared" si="0"/>
        <v>-1.5</v>
      </c>
      <c r="G26" s="69">
        <f t="shared" si="3"/>
        <v>-6.4655172413793103E-3</v>
      </c>
      <c r="H26" s="72">
        <f>I77</f>
        <v>232.5</v>
      </c>
      <c r="I26" s="71">
        <f>J78</f>
        <v>230</v>
      </c>
      <c r="J26" s="71">
        <f>J77</f>
        <v>232.5</v>
      </c>
      <c r="K26" s="73">
        <f>D78</f>
        <v>201</v>
      </c>
      <c r="L26" s="64">
        <f t="shared" si="2"/>
        <v>19465.9555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63.9</v>
      </c>
      <c r="E27" s="71">
        <f>I80</f>
        <v>63.6</v>
      </c>
      <c r="F27" s="68">
        <f>D27-E27</f>
        <v>0.29999999999999716</v>
      </c>
      <c r="G27" s="69">
        <f>F27/E27</f>
        <v>4.7169811320754273E-3</v>
      </c>
      <c r="H27" s="72">
        <f>I79</f>
        <v>63.9</v>
      </c>
      <c r="I27" s="71">
        <f>J80</f>
        <v>63.9</v>
      </c>
      <c r="J27" s="71">
        <f>J79</f>
        <v>63.9</v>
      </c>
      <c r="K27" s="73">
        <f>D80</f>
        <v>1</v>
      </c>
      <c r="L27" s="64">
        <f t="shared" si="2"/>
        <v>2069.68905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200</v>
      </c>
      <c r="E28" s="71">
        <f>I82</f>
        <v>200.5</v>
      </c>
      <c r="F28" s="68">
        <f t="shared" si="0"/>
        <v>-0.5</v>
      </c>
      <c r="G28" s="69">
        <f t="shared" si="3"/>
        <v>-2.4937655860349127E-3</v>
      </c>
      <c r="H28" s="72">
        <f>I81</f>
        <v>200.5</v>
      </c>
      <c r="I28" s="71">
        <f>J82</f>
        <v>198</v>
      </c>
      <c r="J28" s="71">
        <f>J81</f>
        <v>201</v>
      </c>
      <c r="K28" s="73">
        <f>D82</f>
        <v>78</v>
      </c>
      <c r="L28" s="64">
        <f t="shared" si="2"/>
        <v>7900.2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111.5</v>
      </c>
      <c r="E29" s="71">
        <f>I46</f>
        <v>112.57</v>
      </c>
      <c r="F29" s="68">
        <f>D29-E29</f>
        <v>-1.0699999999999932</v>
      </c>
      <c r="G29" s="69">
        <f>F29/E29</f>
        <v>-9.5051967664563676E-3</v>
      </c>
      <c r="H29" s="72">
        <f>I45</f>
        <v>112.5</v>
      </c>
      <c r="I29" s="71">
        <f>J46</f>
        <v>111.5</v>
      </c>
      <c r="J29" s="71">
        <f>J45</f>
        <v>113.5</v>
      </c>
      <c r="K29" s="73">
        <f>D46</f>
        <v>10</v>
      </c>
      <c r="L29" s="64">
        <f>+D29*O29</f>
        <v>2284.2024915000002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42.55</v>
      </c>
      <c r="E30" s="71">
        <f>I88</f>
        <v>43.5</v>
      </c>
      <c r="F30" s="68">
        <f t="shared" si="0"/>
        <v>-0.95000000000000284</v>
      </c>
      <c r="G30" s="69">
        <f t="shared" si="3"/>
        <v>-2.1839080459770181E-2</v>
      </c>
      <c r="H30" s="72">
        <f>I87</f>
        <v>43.6</v>
      </c>
      <c r="I30" s="71">
        <f>J88</f>
        <v>42.5</v>
      </c>
      <c r="J30" s="71">
        <f>J87</f>
        <v>43.8</v>
      </c>
      <c r="K30" s="73">
        <f>D88</f>
        <v>871</v>
      </c>
      <c r="L30" s="64">
        <f>D30*O30</f>
        <v>8750.279849999999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53.5</v>
      </c>
      <c r="E31" s="71">
        <f>I86</f>
        <v>54</v>
      </c>
      <c r="F31" s="68">
        <f>D31-E31</f>
        <v>-0.5</v>
      </c>
      <c r="G31" s="69">
        <f t="shared" si="3"/>
        <v>-9.2592592592592587E-3</v>
      </c>
      <c r="H31" s="72">
        <f>I85</f>
        <v>54</v>
      </c>
      <c r="I31" s="71">
        <f>J86</f>
        <v>52.9</v>
      </c>
      <c r="J31" s="71">
        <f>J85</f>
        <v>54.1</v>
      </c>
      <c r="K31" s="73">
        <f>D86</f>
        <v>2057</v>
      </c>
      <c r="L31" s="64">
        <f>+O31*D31</f>
        <v>33826.070500000002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367.5</v>
      </c>
      <c r="E32" s="71">
        <f>I90</f>
        <v>369</v>
      </c>
      <c r="F32" s="68">
        <f>D32-E32</f>
        <v>-1.5</v>
      </c>
      <c r="G32" s="69">
        <f>F32/E32</f>
        <v>-4.0650406504065045E-3</v>
      </c>
      <c r="H32" s="72">
        <f>I89</f>
        <v>372</v>
      </c>
      <c r="I32" s="71">
        <f>J90</f>
        <v>366</v>
      </c>
      <c r="J32" s="71">
        <f>J89</f>
        <v>372</v>
      </c>
      <c r="K32" s="73">
        <f>D90</f>
        <v>194</v>
      </c>
      <c r="L32" s="64">
        <f>+O32*D32</f>
        <v>92741.197499999995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14.3</v>
      </c>
      <c r="E33" s="71">
        <f>I54</f>
        <v>13.8</v>
      </c>
      <c r="F33" s="68">
        <f>D33-E33</f>
        <v>0.5</v>
      </c>
      <c r="G33" s="69">
        <f>F33/E33</f>
        <v>3.6231884057971016E-2</v>
      </c>
      <c r="H33" s="72">
        <f>I53</f>
        <v>14.15</v>
      </c>
      <c r="I33" s="71">
        <f>J54</f>
        <v>14.05</v>
      </c>
      <c r="J33" s="71">
        <f>J53</f>
        <v>14.7</v>
      </c>
      <c r="K33" s="73">
        <f>D54</f>
        <v>126</v>
      </c>
      <c r="L33" s="64">
        <f>+O33*D33</f>
        <v>917.64530000000013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93.1</v>
      </c>
      <c r="E34" s="71">
        <f>$I$52</f>
        <v>92.5</v>
      </c>
      <c r="F34" s="68">
        <f>D34-E34</f>
        <v>0.59999999999999432</v>
      </c>
      <c r="G34" s="69">
        <f>F34/E34</f>
        <v>6.4864864864864254E-3</v>
      </c>
      <c r="H34" s="72">
        <f>$I$51</f>
        <v>93.2</v>
      </c>
      <c r="I34" s="71">
        <f>J52</f>
        <v>93.1</v>
      </c>
      <c r="J34" s="71">
        <f>$J$51</f>
        <v>94.9</v>
      </c>
      <c r="K34" s="73">
        <f>$D$52</f>
        <v>248</v>
      </c>
      <c r="L34" s="64">
        <f>+O34*D34</f>
        <v>11225.811799999999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725</v>
      </c>
      <c r="E35" s="71">
        <f>I92</f>
        <v>730</v>
      </c>
      <c r="F35" s="68">
        <f>D35-E35</f>
        <v>-5</v>
      </c>
      <c r="G35" s="69">
        <f>F35/E35</f>
        <v>-6.8493150684931503E-3</v>
      </c>
      <c r="H35" s="72">
        <f>I91</f>
        <v>726</v>
      </c>
      <c r="I35" s="71">
        <f>J92</f>
        <v>721</v>
      </c>
      <c r="J35" s="71">
        <f>J91</f>
        <v>733</v>
      </c>
      <c r="K35" s="73">
        <f>D92</f>
        <v>44</v>
      </c>
      <c r="L35" s="64">
        <f>+O35*D35</f>
        <v>49300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9.9000000000000005E-2</v>
      </c>
      <c r="E38" s="60">
        <f>M94</f>
        <v>0.1</v>
      </c>
      <c r="F38" s="61">
        <f>D38-E38</f>
        <v>-1.0000000000000009E-3</v>
      </c>
      <c r="G38" s="62">
        <f>F38/E38</f>
        <v>-1.0000000000000009E-2</v>
      </c>
      <c r="H38" s="63">
        <f>J94</f>
        <v>0.10299999999999999</v>
      </c>
      <c r="I38" s="60">
        <f>L94</f>
        <v>9.5000000000000001E-2</v>
      </c>
      <c r="J38" s="60">
        <f>K94</f>
        <v>0.10299999999999999</v>
      </c>
      <c r="K38" s="64">
        <f>I94</f>
        <v>1195</v>
      </c>
      <c r="L38" s="64">
        <f>+O38*D38</f>
        <v>260.818668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0.32500000000000001</v>
      </c>
      <c r="E39" s="60">
        <f>M95</f>
        <v>0.33500000000000002</v>
      </c>
      <c r="F39" s="61">
        <f>D39-E39</f>
        <v>-1.0000000000000009E-2</v>
      </c>
      <c r="G39" s="77">
        <f>F39/E39</f>
        <v>-2.985074626865674E-2</v>
      </c>
      <c r="H39" s="63">
        <f>J95</f>
        <v>0.34499999999999997</v>
      </c>
      <c r="I39" s="60">
        <f>L95</f>
        <v>0.31</v>
      </c>
      <c r="J39" s="60">
        <f>K95</f>
        <v>0.34499999999999997</v>
      </c>
      <c r="K39" s="64">
        <f>I95</f>
        <v>263</v>
      </c>
      <c r="L39" s="64">
        <f>+O39*D39</f>
        <v>547.99712499999998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0.560613425925926</v>
      </c>
      <c r="D45" s="103">
        <v>111.5</v>
      </c>
      <c r="E45" s="103">
        <v>-1.07</v>
      </c>
      <c r="F45" s="103">
        <v>111.5</v>
      </c>
      <c r="G45" s="103">
        <v>113.5</v>
      </c>
      <c r="H45" s="103">
        <v>5</v>
      </c>
      <c r="I45" s="103">
        <v>112.5</v>
      </c>
      <c r="J45" s="103">
        <v>113.5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10</v>
      </c>
      <c r="E46" s="104">
        <v>-9.4999999999999998E-3</v>
      </c>
      <c r="F46" s="105">
        <v>3760</v>
      </c>
      <c r="G46" s="105">
        <v>2000</v>
      </c>
      <c r="H46" s="103">
        <v>4</v>
      </c>
      <c r="I46" s="103">
        <v>112.57</v>
      </c>
      <c r="J46" s="103">
        <v>111.5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0.53195601851851848</v>
      </c>
      <c r="D47" s="103">
        <v>39.799999999999997</v>
      </c>
      <c r="E47" s="103" t="s">
        <v>14</v>
      </c>
      <c r="F47" s="103">
        <v>39.799999999999997</v>
      </c>
      <c r="G47" s="103">
        <v>40.25</v>
      </c>
      <c r="H47" s="103">
        <v>6</v>
      </c>
      <c r="I47" s="103">
        <v>39.950000000000003</v>
      </c>
      <c r="J47" s="103">
        <v>40</v>
      </c>
      <c r="K47" s="103">
        <v>43.75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11</v>
      </c>
      <c r="E48" s="104" t="s">
        <v>14</v>
      </c>
      <c r="F48" s="103">
        <v>1</v>
      </c>
      <c r="G48" s="103">
        <v>1</v>
      </c>
      <c r="H48" s="103">
        <v>5</v>
      </c>
      <c r="I48" s="103">
        <v>39.799999999999997</v>
      </c>
      <c r="J48" s="103">
        <v>39.799999999999997</v>
      </c>
      <c r="K48" s="103">
        <v>35.85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0.60416666666666663</v>
      </c>
      <c r="D49" s="103">
        <v>196.5</v>
      </c>
      <c r="E49" s="103">
        <v>-1</v>
      </c>
      <c r="F49" s="103">
        <v>196.5</v>
      </c>
      <c r="G49" s="103">
        <v>197</v>
      </c>
      <c r="H49" s="103">
        <v>114</v>
      </c>
      <c r="I49" s="103">
        <v>197.5</v>
      </c>
      <c r="J49" s="103">
        <v>199</v>
      </c>
      <c r="K49" s="103">
        <v>217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157</v>
      </c>
      <c r="E50" s="104">
        <v>-5.1000000000000004E-3</v>
      </c>
      <c r="F50" s="103">
        <v>13</v>
      </c>
      <c r="G50" s="103">
        <v>15</v>
      </c>
      <c r="H50" s="103">
        <v>37</v>
      </c>
      <c r="I50" s="103">
        <v>197.5</v>
      </c>
      <c r="J50" s="103">
        <v>196.5</v>
      </c>
      <c r="K50" s="103">
        <v>178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0.60416666666666663</v>
      </c>
      <c r="D51" s="103">
        <v>93.1</v>
      </c>
      <c r="E51" s="103">
        <v>0.6</v>
      </c>
      <c r="F51" s="103">
        <v>92.9</v>
      </c>
      <c r="G51" s="103">
        <v>93.4</v>
      </c>
      <c r="H51" s="105">
        <v>128</v>
      </c>
      <c r="I51" s="103">
        <v>93.2</v>
      </c>
      <c r="J51" s="103">
        <v>94.9</v>
      </c>
      <c r="K51" s="103">
        <v>101.5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248</v>
      </c>
      <c r="E52" s="104">
        <v>6.4999999999999997E-3</v>
      </c>
      <c r="F52" s="103">
        <v>1</v>
      </c>
      <c r="G52" s="103">
        <v>2</v>
      </c>
      <c r="H52" s="105">
        <v>117</v>
      </c>
      <c r="I52" s="103">
        <v>92.5</v>
      </c>
      <c r="J52" s="103">
        <v>93.1</v>
      </c>
      <c r="K52" s="103">
        <v>83.3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14.3</v>
      </c>
      <c r="E53" s="103">
        <v>0.5</v>
      </c>
      <c r="F53" s="103">
        <v>14.25</v>
      </c>
      <c r="G53" s="103">
        <v>14.5</v>
      </c>
      <c r="H53" s="103">
        <v>47</v>
      </c>
      <c r="I53" s="103">
        <v>14.15</v>
      </c>
      <c r="J53" s="103">
        <v>14.7</v>
      </c>
      <c r="K53" s="103">
        <v>15.15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126</v>
      </c>
      <c r="E54" s="104">
        <v>3.6200000000000003E-2</v>
      </c>
      <c r="F54" s="103">
        <v>2</v>
      </c>
      <c r="G54" s="103">
        <v>2</v>
      </c>
      <c r="H54" s="103">
        <v>79</v>
      </c>
      <c r="I54" s="103">
        <v>13.8</v>
      </c>
      <c r="J54" s="103">
        <v>14.05</v>
      </c>
      <c r="K54" s="103">
        <v>12.45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49</v>
      </c>
      <c r="E55" s="103">
        <v>1.1499999999999999</v>
      </c>
      <c r="F55" s="103">
        <v>48.9</v>
      </c>
      <c r="G55" s="103">
        <v>49</v>
      </c>
      <c r="H55" s="105">
        <v>71</v>
      </c>
      <c r="I55" s="103">
        <v>48.1</v>
      </c>
      <c r="J55" s="103">
        <v>49.1</v>
      </c>
      <c r="K55" s="103">
        <v>52.6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155</v>
      </c>
      <c r="E56" s="104">
        <v>2.4E-2</v>
      </c>
      <c r="F56" s="103">
        <v>1</v>
      </c>
      <c r="G56" s="103">
        <v>1</v>
      </c>
      <c r="H56" s="105">
        <v>83</v>
      </c>
      <c r="I56" s="103">
        <v>47.85</v>
      </c>
      <c r="J56" s="103">
        <v>48.1</v>
      </c>
      <c r="K56" s="103">
        <v>43.1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0.60416666666666663</v>
      </c>
      <c r="D57" s="103">
        <v>59.5</v>
      </c>
      <c r="E57" s="103">
        <v>0.7</v>
      </c>
      <c r="F57" s="103">
        <v>59.3</v>
      </c>
      <c r="G57" s="103">
        <v>59.5</v>
      </c>
      <c r="H57" s="105">
        <v>65</v>
      </c>
      <c r="I57" s="103">
        <v>58.8</v>
      </c>
      <c r="J57" s="103">
        <v>59.7</v>
      </c>
      <c r="K57" s="103">
        <v>64.599999999999994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143</v>
      </c>
      <c r="E58" s="104">
        <v>1.1900000000000001E-2</v>
      </c>
      <c r="F58" s="103">
        <v>1</v>
      </c>
      <c r="G58" s="103">
        <v>4</v>
      </c>
      <c r="H58" s="105">
        <v>72</v>
      </c>
      <c r="I58" s="103">
        <v>58.8</v>
      </c>
      <c r="J58" s="103">
        <v>58.8</v>
      </c>
      <c r="K58" s="103">
        <v>53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0.55850694444444449</v>
      </c>
      <c r="D59" s="103">
        <v>51.9</v>
      </c>
      <c r="E59" s="103">
        <v>0.1</v>
      </c>
      <c r="F59" s="103">
        <v>51</v>
      </c>
      <c r="G59" s="103">
        <v>51.6</v>
      </c>
      <c r="H59" s="103">
        <v>2</v>
      </c>
      <c r="I59" s="103">
        <v>51.1</v>
      </c>
      <c r="J59" s="103">
        <v>51.9</v>
      </c>
      <c r="K59" s="103">
        <v>56.9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7</v>
      </c>
      <c r="E60" s="104">
        <v>1.9E-3</v>
      </c>
      <c r="F60" s="103">
        <v>3</v>
      </c>
      <c r="G60" s="103">
        <v>1</v>
      </c>
      <c r="H60" s="103">
        <v>5</v>
      </c>
      <c r="I60" s="103">
        <v>51.8</v>
      </c>
      <c r="J60" s="103">
        <v>51.1</v>
      </c>
      <c r="K60" s="103">
        <v>46.65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0.49712962962962964</v>
      </c>
      <c r="D61" s="103">
        <v>36</v>
      </c>
      <c r="E61" s="103">
        <v>0.05</v>
      </c>
      <c r="F61" s="103">
        <v>35.200000000000003</v>
      </c>
      <c r="G61" s="103">
        <v>35.950000000000003</v>
      </c>
      <c r="H61" s="103" t="s">
        <v>14</v>
      </c>
      <c r="I61" s="103">
        <v>36</v>
      </c>
      <c r="J61" s="103">
        <v>36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1</v>
      </c>
      <c r="E62" s="104">
        <v>1.4E-3</v>
      </c>
      <c r="F62" s="105">
        <v>2998</v>
      </c>
      <c r="G62" s="105">
        <v>3000</v>
      </c>
      <c r="H62" s="103">
        <v>1</v>
      </c>
      <c r="I62" s="103">
        <v>35.950000000000003</v>
      </c>
      <c r="J62" s="103">
        <v>35.200000000000003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259.5</v>
      </c>
      <c r="E63" s="103">
        <v>0.5</v>
      </c>
      <c r="F63" s="103">
        <v>259</v>
      </c>
      <c r="G63" s="103">
        <v>259.5</v>
      </c>
      <c r="H63" s="105">
        <v>786</v>
      </c>
      <c r="I63" s="103">
        <v>260</v>
      </c>
      <c r="J63" s="103">
        <v>260.5</v>
      </c>
      <c r="K63" s="103">
        <v>284.5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1588</v>
      </c>
      <c r="E64" s="104">
        <v>1.9E-3</v>
      </c>
      <c r="F64" s="103">
        <v>5</v>
      </c>
      <c r="G64" s="103">
        <v>22</v>
      </c>
      <c r="H64" s="105">
        <v>548</v>
      </c>
      <c r="I64" s="103">
        <v>259</v>
      </c>
      <c r="J64" s="103">
        <v>258</v>
      </c>
      <c r="K64" s="103">
        <v>233.5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0.5625</v>
      </c>
      <c r="D65" s="103">
        <v>24.55</v>
      </c>
      <c r="E65" s="103">
        <v>0.15</v>
      </c>
      <c r="F65" s="103">
        <v>24.55</v>
      </c>
      <c r="G65" s="103">
        <v>24.6</v>
      </c>
      <c r="H65" s="105">
        <v>823</v>
      </c>
      <c r="I65" s="103">
        <v>24.45</v>
      </c>
      <c r="J65" s="103">
        <v>24.8</v>
      </c>
      <c r="K65" s="103">
        <v>26.8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1815</v>
      </c>
      <c r="E66" s="104">
        <v>6.1000000000000004E-3</v>
      </c>
      <c r="F66" s="103">
        <v>16</v>
      </c>
      <c r="G66" s="103">
        <v>1</v>
      </c>
      <c r="H66" s="105">
        <v>804</v>
      </c>
      <c r="I66" s="103">
        <v>24.4</v>
      </c>
      <c r="J66" s="103">
        <v>24.45</v>
      </c>
      <c r="K66" s="103">
        <v>22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500</v>
      </c>
      <c r="E67" s="103">
        <v>-15</v>
      </c>
      <c r="F67" s="103">
        <v>500</v>
      </c>
      <c r="G67" s="103">
        <v>502</v>
      </c>
      <c r="H67" s="103">
        <v>182</v>
      </c>
      <c r="I67" s="103">
        <v>518</v>
      </c>
      <c r="J67" s="103">
        <v>518</v>
      </c>
      <c r="K67" s="103">
        <v>566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266</v>
      </c>
      <c r="E68" s="104">
        <v>-2.9100000000000001E-2</v>
      </c>
      <c r="F68" s="103">
        <v>39</v>
      </c>
      <c r="G68" s="103">
        <v>2</v>
      </c>
      <c r="H68" s="103">
        <v>83</v>
      </c>
      <c r="I68" s="103">
        <v>515</v>
      </c>
      <c r="J68" s="103">
        <v>500</v>
      </c>
      <c r="K68" s="103">
        <v>463.5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0.60416666666666663</v>
      </c>
      <c r="D69" s="103">
        <v>10.55</v>
      </c>
      <c r="E69" s="103">
        <v>0.15</v>
      </c>
      <c r="F69" s="103">
        <v>10.5</v>
      </c>
      <c r="G69" s="103">
        <v>10.55</v>
      </c>
      <c r="H69" s="105">
        <v>823</v>
      </c>
      <c r="I69" s="103">
        <v>10.45</v>
      </c>
      <c r="J69" s="103">
        <v>10.9</v>
      </c>
      <c r="K69" s="103">
        <v>11.4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1723</v>
      </c>
      <c r="E70" s="104">
        <v>1.44E-2</v>
      </c>
      <c r="F70" s="103">
        <v>5</v>
      </c>
      <c r="G70" s="103">
        <v>3</v>
      </c>
      <c r="H70" s="105">
        <v>853</v>
      </c>
      <c r="I70" s="103">
        <v>10.4</v>
      </c>
      <c r="J70" s="103">
        <v>10.35</v>
      </c>
      <c r="K70" s="103">
        <v>9.36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0.5625</v>
      </c>
      <c r="D71" s="103">
        <v>208.5</v>
      </c>
      <c r="E71" s="103">
        <v>1</v>
      </c>
      <c r="F71" s="103">
        <v>207.5</v>
      </c>
      <c r="G71" s="103">
        <v>208.5</v>
      </c>
      <c r="H71" s="103">
        <v>92</v>
      </c>
      <c r="I71" s="103">
        <v>207.5</v>
      </c>
      <c r="J71" s="103">
        <v>209</v>
      </c>
      <c r="K71" s="103">
        <v>228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194</v>
      </c>
      <c r="E72" s="104">
        <v>4.7999999999999996E-3</v>
      </c>
      <c r="F72" s="103">
        <v>10</v>
      </c>
      <c r="G72" s="103">
        <v>2</v>
      </c>
      <c r="H72" s="103">
        <v>101</v>
      </c>
      <c r="I72" s="103">
        <v>207.5</v>
      </c>
      <c r="J72" s="103">
        <v>205.5</v>
      </c>
      <c r="K72" s="103">
        <v>187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51.5</v>
      </c>
      <c r="E73" s="103" t="s">
        <v>14</v>
      </c>
      <c r="F73" s="103">
        <v>51.4</v>
      </c>
      <c r="G73" s="103">
        <v>51.7</v>
      </c>
      <c r="H73" s="103">
        <v>26</v>
      </c>
      <c r="I73" s="103">
        <v>51.5</v>
      </c>
      <c r="J73" s="103">
        <v>52.1</v>
      </c>
      <c r="K73" s="103">
        <v>56.6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49</v>
      </c>
      <c r="E74" s="104" t="s">
        <v>14</v>
      </c>
      <c r="F74" s="103">
        <v>5</v>
      </c>
      <c r="G74" s="103">
        <v>2</v>
      </c>
      <c r="H74" s="103">
        <v>23</v>
      </c>
      <c r="I74" s="103">
        <v>51.5</v>
      </c>
      <c r="J74" s="103">
        <v>50.9</v>
      </c>
      <c r="K74" s="103">
        <v>46.35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96.8</v>
      </c>
      <c r="E75" s="103">
        <v>1.1000000000000001</v>
      </c>
      <c r="F75" s="103">
        <v>96.7</v>
      </c>
      <c r="G75" s="103">
        <v>97.1</v>
      </c>
      <c r="H75" s="103">
        <v>203</v>
      </c>
      <c r="I75" s="103">
        <v>96</v>
      </c>
      <c r="J75" s="103">
        <v>98.6</v>
      </c>
      <c r="K75" s="103">
        <v>105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416</v>
      </c>
      <c r="E76" s="104">
        <v>1.15E-2</v>
      </c>
      <c r="F76" s="103">
        <v>1</v>
      </c>
      <c r="G76" s="103">
        <v>3</v>
      </c>
      <c r="H76" s="105">
        <v>203</v>
      </c>
      <c r="I76" s="103">
        <v>95.7</v>
      </c>
      <c r="J76" s="103">
        <v>95.8</v>
      </c>
      <c r="K76" s="103">
        <v>86.2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0.60416666666666663</v>
      </c>
      <c r="D77" s="103">
        <v>230.5</v>
      </c>
      <c r="E77" s="103">
        <v>-1.5</v>
      </c>
      <c r="F77" s="103">
        <v>230.5</v>
      </c>
      <c r="G77" s="103">
        <v>231</v>
      </c>
      <c r="H77" s="105">
        <v>132</v>
      </c>
      <c r="I77" s="103">
        <v>232.5</v>
      </c>
      <c r="J77" s="103">
        <v>232.5</v>
      </c>
      <c r="K77" s="103">
        <v>255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201</v>
      </c>
      <c r="E78" s="104">
        <v>-6.4999999999999997E-3</v>
      </c>
      <c r="F78" s="103">
        <v>13</v>
      </c>
      <c r="G78" s="103">
        <v>6</v>
      </c>
      <c r="H78" s="105">
        <v>69</v>
      </c>
      <c r="I78" s="103">
        <v>232</v>
      </c>
      <c r="J78" s="103">
        <v>230</v>
      </c>
      <c r="K78" s="103">
        <v>209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0.44384259259259262</v>
      </c>
      <c r="D79" s="103">
        <v>63.9</v>
      </c>
      <c r="E79" s="103">
        <v>0.3</v>
      </c>
      <c r="F79" s="103">
        <v>63.8</v>
      </c>
      <c r="G79" s="103">
        <v>64.5</v>
      </c>
      <c r="H79" s="103">
        <v>1</v>
      </c>
      <c r="I79" s="103">
        <v>63.9</v>
      </c>
      <c r="J79" s="103">
        <v>63.9</v>
      </c>
      <c r="K79" s="103">
        <v>69.900000000000006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1</v>
      </c>
      <c r="E80" s="104">
        <v>4.7000000000000002E-3</v>
      </c>
      <c r="F80" s="103">
        <v>1</v>
      </c>
      <c r="G80" s="103">
        <v>1</v>
      </c>
      <c r="H80" s="103" t="s">
        <v>14</v>
      </c>
      <c r="I80" s="103">
        <v>63.6</v>
      </c>
      <c r="J80" s="103">
        <v>63.9</v>
      </c>
      <c r="K80" s="103">
        <v>57.3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200</v>
      </c>
      <c r="E81" s="103">
        <v>-0.5</v>
      </c>
      <c r="F81" s="103">
        <v>199</v>
      </c>
      <c r="G81" s="103">
        <v>200.5</v>
      </c>
      <c r="H81" s="103">
        <v>50</v>
      </c>
      <c r="I81" s="103">
        <v>200.5</v>
      </c>
      <c r="J81" s="103">
        <v>201</v>
      </c>
      <c r="K81" s="103">
        <v>220.5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78</v>
      </c>
      <c r="E82" s="104">
        <v>-2.5000000000000001E-3</v>
      </c>
      <c r="F82" s="103">
        <v>2</v>
      </c>
      <c r="G82" s="103">
        <v>3</v>
      </c>
      <c r="H82" s="103">
        <v>27</v>
      </c>
      <c r="I82" s="103">
        <v>200.5</v>
      </c>
      <c r="J82" s="103">
        <v>198</v>
      </c>
      <c r="K82" s="103">
        <v>180.5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0.60416666666666663</v>
      </c>
      <c r="D83" s="103">
        <v>74.599999999999994</v>
      </c>
      <c r="E83" s="103">
        <v>1.2</v>
      </c>
      <c r="F83" s="103">
        <v>74.3</v>
      </c>
      <c r="G83" s="103">
        <v>74.599999999999994</v>
      </c>
      <c r="H83" s="105">
        <v>2565</v>
      </c>
      <c r="I83" s="103">
        <v>73</v>
      </c>
      <c r="J83" s="103">
        <v>74.599999999999994</v>
      </c>
      <c r="K83" s="103">
        <v>80.7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5291</v>
      </c>
      <c r="E84" s="104">
        <v>1.6299999999999999E-2</v>
      </c>
      <c r="F84" s="103">
        <v>9</v>
      </c>
      <c r="G84" s="103">
        <v>123</v>
      </c>
      <c r="H84" s="105">
        <v>2669</v>
      </c>
      <c r="I84" s="103">
        <v>73.400000000000006</v>
      </c>
      <c r="J84" s="103">
        <v>72.7</v>
      </c>
      <c r="K84" s="103">
        <v>66.099999999999994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53.5</v>
      </c>
      <c r="E85" s="103">
        <v>-0.5</v>
      </c>
      <c r="F85" s="103">
        <v>53.3</v>
      </c>
      <c r="G85" s="103">
        <v>53.5</v>
      </c>
      <c r="H85" s="105">
        <v>1377</v>
      </c>
      <c r="I85" s="103">
        <v>54</v>
      </c>
      <c r="J85" s="103">
        <v>54.1</v>
      </c>
      <c r="K85" s="103">
        <v>59.4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2057</v>
      </c>
      <c r="E86" s="104">
        <v>-9.2999999999999992E-3</v>
      </c>
      <c r="F86" s="103">
        <v>5</v>
      </c>
      <c r="G86" s="103">
        <v>6</v>
      </c>
      <c r="H86" s="105">
        <v>634</v>
      </c>
      <c r="I86" s="103">
        <v>54</v>
      </c>
      <c r="J86" s="103">
        <v>52.9</v>
      </c>
      <c r="K86" s="103">
        <v>48.6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42.55</v>
      </c>
      <c r="E87" s="103">
        <v>-0.95</v>
      </c>
      <c r="F87" s="103">
        <v>42.55</v>
      </c>
      <c r="G87" s="103">
        <v>42.65</v>
      </c>
      <c r="H87" s="105">
        <v>536</v>
      </c>
      <c r="I87" s="103">
        <v>43.6</v>
      </c>
      <c r="J87" s="103">
        <v>43.8</v>
      </c>
      <c r="K87" s="103">
        <v>47.85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871</v>
      </c>
      <c r="E88" s="104">
        <v>-2.18E-2</v>
      </c>
      <c r="F88" s="105">
        <v>6</v>
      </c>
      <c r="G88" s="103">
        <v>1</v>
      </c>
      <c r="H88" s="105">
        <v>324</v>
      </c>
      <c r="I88" s="103">
        <v>43.5</v>
      </c>
      <c r="J88" s="103">
        <v>42.5</v>
      </c>
      <c r="K88" s="103">
        <v>39.15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367.5</v>
      </c>
      <c r="E89" s="103">
        <v>-1.5</v>
      </c>
      <c r="F89" s="103">
        <v>367</v>
      </c>
      <c r="G89" s="103">
        <v>367.5</v>
      </c>
      <c r="H89" s="103">
        <v>113</v>
      </c>
      <c r="I89" s="103">
        <v>372</v>
      </c>
      <c r="J89" s="103">
        <v>372</v>
      </c>
      <c r="K89" s="103">
        <v>405.5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194</v>
      </c>
      <c r="E90" s="104">
        <v>-4.1000000000000003E-3</v>
      </c>
      <c r="F90" s="103">
        <v>1</v>
      </c>
      <c r="G90" s="103">
        <v>1</v>
      </c>
      <c r="H90" s="105">
        <v>80</v>
      </c>
      <c r="I90" s="103">
        <v>369</v>
      </c>
      <c r="J90" s="103">
        <v>366</v>
      </c>
      <c r="K90" s="103">
        <v>332.5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725</v>
      </c>
      <c r="E91" s="103">
        <v>-5</v>
      </c>
      <c r="F91" s="103">
        <v>725</v>
      </c>
      <c r="G91" s="103">
        <v>727</v>
      </c>
      <c r="H91" s="103">
        <v>34</v>
      </c>
      <c r="I91" s="103">
        <v>726</v>
      </c>
      <c r="J91" s="103">
        <v>733</v>
      </c>
      <c r="K91" s="103">
        <v>803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44</v>
      </c>
      <c r="E92" s="104">
        <v>-6.7999999999999996E-3</v>
      </c>
      <c r="F92" s="103">
        <v>4</v>
      </c>
      <c r="G92" s="103">
        <v>1</v>
      </c>
      <c r="H92" s="103">
        <v>8</v>
      </c>
      <c r="I92" s="103">
        <v>730</v>
      </c>
      <c r="J92" s="103">
        <v>721</v>
      </c>
      <c r="K92" s="103">
        <v>657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9.9000000000000005E-2</v>
      </c>
      <c r="G94" s="86">
        <f>F94-M94</f>
        <v>-1.0000000000000009E-3</v>
      </c>
      <c r="H94" s="87">
        <f>F94/M94-1</f>
        <v>-1.0000000000000009E-2</v>
      </c>
      <c r="I94" s="98">
        <v>1195</v>
      </c>
      <c r="J94" s="100">
        <v>0.10299999999999999</v>
      </c>
      <c r="K94" s="100">
        <v>0.10299999999999999</v>
      </c>
      <c r="L94" s="100">
        <v>9.5000000000000001E-2</v>
      </c>
      <c r="M94" s="88">
        <v>0.1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0.32500000000000001</v>
      </c>
      <c r="G95" s="86">
        <f>F95-M95</f>
        <v>-1.0000000000000009E-2</v>
      </c>
      <c r="H95" s="87">
        <f>F95/M95-1</f>
        <v>-2.9850746268656692E-2</v>
      </c>
      <c r="I95" s="98">
        <v>263</v>
      </c>
      <c r="J95" s="100">
        <v>0.34499999999999997</v>
      </c>
      <c r="K95" s="100">
        <v>0.34499999999999997</v>
      </c>
      <c r="L95" s="100">
        <v>0.31</v>
      </c>
      <c r="M95" s="88">
        <v>0.33500000000000002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D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45734.810532407406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22271.67</v>
      </c>
      <c r="E6" s="94">
        <v>22118.63</v>
      </c>
      <c r="F6" s="33">
        <f>(D6-E6)/E6</f>
        <v>6.9190542090535097E-3</v>
      </c>
      <c r="G6" s="34"/>
      <c r="H6" s="91">
        <f>ROUND(282886860039/100000000,2)</f>
        <v>2828.87</v>
      </c>
      <c r="I6" s="91">
        <v>3104.01</v>
      </c>
      <c r="J6" s="35">
        <f>+H6-I6</f>
        <v>-275.14000000000033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24740.57</v>
      </c>
      <c r="E8" s="90">
        <v>24145.57</v>
      </c>
      <c r="F8" s="33">
        <f>(D8-E8)/E8</f>
        <v>2.4642201447304828E-2</v>
      </c>
      <c r="G8" s="34"/>
      <c r="H8" s="91">
        <v>2859.35</v>
      </c>
      <c r="I8" s="91">
        <v>2448.2199999999998</v>
      </c>
      <c r="J8" s="35">
        <f>+H8-I8</f>
        <v>411.13000000000011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今日收盤3/18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52.4</v>
      </c>
      <c r="E13" s="60">
        <f>I60</f>
        <v>51.9</v>
      </c>
      <c r="F13" s="61">
        <f>D13-E13</f>
        <v>0.5</v>
      </c>
      <c r="G13" s="62">
        <f>F13/E13</f>
        <v>9.6339113680154152E-3</v>
      </c>
      <c r="H13" s="63">
        <f>I59</f>
        <v>52.4</v>
      </c>
      <c r="I13" s="60">
        <f>J60</f>
        <v>52.4</v>
      </c>
      <c r="J13" s="60">
        <f>J59</f>
        <v>52.4</v>
      </c>
      <c r="K13" s="64">
        <f>D60</f>
        <v>1</v>
      </c>
      <c r="L13" s="64">
        <f>+O13*D13</f>
        <v>2483.2176600000003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258</v>
      </c>
      <c r="E14" s="60">
        <f>I64</f>
        <v>259.5</v>
      </c>
      <c r="F14" s="61">
        <f t="shared" ref="F14:F30" si="0">D14-E14</f>
        <v>-1.5</v>
      </c>
      <c r="G14" s="62">
        <f>F14/E14</f>
        <v>-5.7803468208092483E-3</v>
      </c>
      <c r="H14" s="63">
        <f>I63</f>
        <v>260</v>
      </c>
      <c r="I14" s="60">
        <f>J64</f>
        <v>258</v>
      </c>
      <c r="J14" s="60">
        <f>J63</f>
        <v>260.5</v>
      </c>
      <c r="K14" s="73">
        <f>D64</f>
        <v>2166</v>
      </c>
      <c r="L14" s="64">
        <f>+O14*D14</f>
        <v>268222.47600000002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197</v>
      </c>
      <c r="E15" s="71">
        <f>$I$50</f>
        <v>196.5</v>
      </c>
      <c r="F15" s="61">
        <f>D15-E15</f>
        <v>0.5</v>
      </c>
      <c r="G15" s="62">
        <f>F15/E15</f>
        <v>2.5445292620865142E-3</v>
      </c>
      <c r="H15" s="72">
        <f>$I$49</f>
        <v>196.5</v>
      </c>
      <c r="I15" s="60">
        <f>J50</f>
        <v>196.5</v>
      </c>
      <c r="J15" s="71">
        <f>$J$49</f>
        <v>198</v>
      </c>
      <c r="K15" s="73">
        <f>$D$50</f>
        <v>93</v>
      </c>
      <c r="L15" s="64">
        <f>D15*O15</f>
        <v>43974.34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39.799999999999997</v>
      </c>
      <c r="E16" s="71">
        <f>I48</f>
        <v>39.799999999999997</v>
      </c>
      <c r="F16" s="61">
        <f>D16-E16</f>
        <v>0</v>
      </c>
      <c r="G16" s="62">
        <f>F16/E16</f>
        <v>0</v>
      </c>
      <c r="H16" s="72">
        <f>I47</f>
        <v>39.799999999999997</v>
      </c>
      <c r="I16" s="60">
        <f>J48</f>
        <v>39.799999999999997</v>
      </c>
      <c r="J16" s="71">
        <f>J47</f>
        <v>39.799999999999997</v>
      </c>
      <c r="K16" s="73">
        <f>D48</f>
        <v>4</v>
      </c>
      <c r="L16" s="64">
        <f>D16*O16</f>
        <v>2686.5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25.2</v>
      </c>
      <c r="E17" s="60">
        <f>I66</f>
        <v>24.55</v>
      </c>
      <c r="F17" s="61">
        <f t="shared" si="0"/>
        <v>0.64999999999999858</v>
      </c>
      <c r="G17" s="62">
        <f t="shared" ref="G17:G22" si="1">F17/E17</f>
        <v>2.6476578411405237E-2</v>
      </c>
      <c r="H17" s="63">
        <f>I65</f>
        <v>24.7</v>
      </c>
      <c r="I17" s="60">
        <f>J66</f>
        <v>24.6</v>
      </c>
      <c r="J17" s="60">
        <f>J65</f>
        <v>25.3</v>
      </c>
      <c r="K17" s="64">
        <f>D66</f>
        <v>3337</v>
      </c>
      <c r="L17" s="64">
        <f>+O17*D17</f>
        <v>35706.913200000003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508</v>
      </c>
      <c r="E18" s="60">
        <f>I68</f>
        <v>500</v>
      </c>
      <c r="F18" s="61">
        <f t="shared" si="0"/>
        <v>8</v>
      </c>
      <c r="G18" s="62">
        <f t="shared" si="1"/>
        <v>1.6E-2</v>
      </c>
      <c r="H18" s="63">
        <f>I67</f>
        <v>506</v>
      </c>
      <c r="I18" s="60">
        <f>J68</f>
        <v>500</v>
      </c>
      <c r="J18" s="60">
        <f>J67</f>
        <v>511</v>
      </c>
      <c r="K18" s="64">
        <f>D68</f>
        <v>253</v>
      </c>
      <c r="L18" s="64">
        <f>+O18*D18</f>
        <v>53307.488000000005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10.4</v>
      </c>
      <c r="E19" s="60">
        <f>I70</f>
        <v>10.55</v>
      </c>
      <c r="F19" s="61">
        <f t="shared" si="0"/>
        <v>-0.15000000000000036</v>
      </c>
      <c r="G19" s="62">
        <f>F19/E19</f>
        <v>-1.4218009478673018E-2</v>
      </c>
      <c r="H19" s="63">
        <f>I69</f>
        <v>10.75</v>
      </c>
      <c r="I19" s="60">
        <f>J70</f>
        <v>10.35</v>
      </c>
      <c r="J19" s="60">
        <f>J69</f>
        <v>10.75</v>
      </c>
      <c r="K19" s="64">
        <f>D70</f>
        <v>1063</v>
      </c>
      <c r="L19" s="64">
        <f>+O19*D19</f>
        <v>2033.5224000000001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35.950000000000003</v>
      </c>
      <c r="E20" s="60">
        <f>I62</f>
        <v>36</v>
      </c>
      <c r="F20" s="61">
        <f>D20-E20</f>
        <v>-4.9999999999997158E-2</v>
      </c>
      <c r="G20" s="62">
        <f>F20/E20</f>
        <v>-1.38888888888881E-3</v>
      </c>
      <c r="H20" s="63">
        <f>I61</f>
        <v>35.950000000000003</v>
      </c>
      <c r="I20" s="60">
        <f>J62</f>
        <v>35.950000000000003</v>
      </c>
      <c r="J20" s="60">
        <f>J61</f>
        <v>35.950000000000003</v>
      </c>
      <c r="K20" s="64">
        <f>D62</f>
        <v>2</v>
      </c>
      <c r="L20" s="64">
        <f>O20*D20</f>
        <v>2157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211</v>
      </c>
      <c r="E21" s="60">
        <f>I72</f>
        <v>208.5</v>
      </c>
      <c r="F21" s="61">
        <f t="shared" si="0"/>
        <v>2.5</v>
      </c>
      <c r="G21" s="62">
        <f t="shared" si="1"/>
        <v>1.1990407673860911E-2</v>
      </c>
      <c r="H21" s="63">
        <f>I71</f>
        <v>210.5</v>
      </c>
      <c r="I21" s="60">
        <f>J72</f>
        <v>209</v>
      </c>
      <c r="J21" s="60">
        <f>J71</f>
        <v>212.5</v>
      </c>
      <c r="K21" s="64">
        <f>D72</f>
        <v>282</v>
      </c>
      <c r="L21" s="64">
        <f t="shared" ref="L21:L28" si="2">+O21*D21</f>
        <v>26882.032999999999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51.8</v>
      </c>
      <c r="E22" s="60">
        <f>I74</f>
        <v>51.5</v>
      </c>
      <c r="F22" s="61">
        <f t="shared" si="0"/>
        <v>0.29999999999999716</v>
      </c>
      <c r="G22" s="62">
        <f t="shared" si="1"/>
        <v>5.8252427184465466E-3</v>
      </c>
      <c r="H22" s="63">
        <f>I73</f>
        <v>52.4</v>
      </c>
      <c r="I22" s="60">
        <f>J74</f>
        <v>51.6</v>
      </c>
      <c r="J22" s="60">
        <f>J73</f>
        <v>53.4</v>
      </c>
      <c r="K22" s="64">
        <f>D74</f>
        <v>20</v>
      </c>
      <c r="L22" s="64">
        <f t="shared" si="2"/>
        <v>19006.577367400001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49.7</v>
      </c>
      <c r="E23" s="60">
        <f>I56</f>
        <v>49</v>
      </c>
      <c r="F23" s="61">
        <f>D23-E23</f>
        <v>0.70000000000000284</v>
      </c>
      <c r="G23" s="62">
        <f>F23/E23</f>
        <v>1.4285714285714344E-2</v>
      </c>
      <c r="H23" s="63">
        <f>I55</f>
        <v>49.2</v>
      </c>
      <c r="I23" s="60">
        <f>J56</f>
        <v>49</v>
      </c>
      <c r="J23" s="60">
        <f>J55</f>
        <v>49.75</v>
      </c>
      <c r="K23" s="64">
        <f>D56</f>
        <v>84</v>
      </c>
      <c r="L23" s="64">
        <f t="shared" si="2"/>
        <v>4548.8422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59.5</v>
      </c>
      <c r="E24" s="60">
        <f>I58</f>
        <v>59.5</v>
      </c>
      <c r="F24" s="68">
        <f t="shared" si="0"/>
        <v>0</v>
      </c>
      <c r="G24" s="69">
        <f>F24/E24</f>
        <v>0</v>
      </c>
      <c r="H24" s="63">
        <f>I57</f>
        <v>59.7</v>
      </c>
      <c r="I24" s="60">
        <f>J58</f>
        <v>59.3</v>
      </c>
      <c r="J24" s="60">
        <f>J57</f>
        <v>60.1</v>
      </c>
      <c r="K24" s="64">
        <f>D58</f>
        <v>96</v>
      </c>
      <c r="L24" s="64">
        <f t="shared" si="2"/>
        <v>6293.8504999999996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97.6</v>
      </c>
      <c r="E25" s="71">
        <f>I76</f>
        <v>96.8</v>
      </c>
      <c r="F25" s="68">
        <f t="shared" si="0"/>
        <v>0.79999999999999716</v>
      </c>
      <c r="G25" s="69">
        <f t="shared" ref="G25:G31" si="3">F25/E25</f>
        <v>8.2644628099173261E-3</v>
      </c>
      <c r="H25" s="72">
        <f>I75</f>
        <v>96.8</v>
      </c>
      <c r="I25" s="60">
        <f>J76</f>
        <v>96.8</v>
      </c>
      <c r="J25" s="71">
        <f>J75</f>
        <v>97.9</v>
      </c>
      <c r="K25" s="73">
        <f>D76</f>
        <v>168</v>
      </c>
      <c r="L25" s="64">
        <f t="shared" si="2"/>
        <v>17568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229</v>
      </c>
      <c r="E26" s="71">
        <f>I78</f>
        <v>230.5</v>
      </c>
      <c r="F26" s="68">
        <f t="shared" si="0"/>
        <v>-1.5</v>
      </c>
      <c r="G26" s="69">
        <f t="shared" si="3"/>
        <v>-6.5075921908893707E-3</v>
      </c>
      <c r="H26" s="72">
        <f>I77</f>
        <v>232</v>
      </c>
      <c r="I26" s="71">
        <f>J78</f>
        <v>229</v>
      </c>
      <c r="J26" s="71">
        <f>J77</f>
        <v>232</v>
      </c>
      <c r="K26" s="73">
        <f>D78</f>
        <v>314</v>
      </c>
      <c r="L26" s="64">
        <f t="shared" si="2"/>
        <v>19339.278999999999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64.400000000000006</v>
      </c>
      <c r="E27" s="71">
        <f>I80</f>
        <v>63.9</v>
      </c>
      <c r="F27" s="68">
        <f>D27-E27</f>
        <v>0.50000000000000711</v>
      </c>
      <c r="G27" s="69">
        <f>F27/E27</f>
        <v>7.8247261345854007E-3</v>
      </c>
      <c r="H27" s="72">
        <f>I79</f>
        <v>64.5</v>
      </c>
      <c r="I27" s="71">
        <f>J80</f>
        <v>64.400000000000006</v>
      </c>
      <c r="J27" s="71">
        <f>J79</f>
        <v>64.5</v>
      </c>
      <c r="K27" s="73">
        <f>D80</f>
        <v>2</v>
      </c>
      <c r="L27" s="64">
        <f t="shared" si="2"/>
        <v>2085.8838000000001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201</v>
      </c>
      <c r="E28" s="71">
        <f>I82</f>
        <v>200</v>
      </c>
      <c r="F28" s="68">
        <f t="shared" si="0"/>
        <v>1</v>
      </c>
      <c r="G28" s="69">
        <f t="shared" si="3"/>
        <v>5.0000000000000001E-3</v>
      </c>
      <c r="H28" s="72">
        <f>I81</f>
        <v>200</v>
      </c>
      <c r="I28" s="71">
        <f>J82</f>
        <v>198.5</v>
      </c>
      <c r="J28" s="71">
        <f>J81</f>
        <v>203</v>
      </c>
      <c r="K28" s="73">
        <f>D82</f>
        <v>31</v>
      </c>
      <c r="L28" s="64">
        <f t="shared" si="2"/>
        <v>7939.7009999999991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108.5</v>
      </c>
      <c r="E29" s="71">
        <f>I46</f>
        <v>112.33</v>
      </c>
      <c r="F29" s="68">
        <f>D29-E29</f>
        <v>-3.8299999999999983</v>
      </c>
      <c r="G29" s="69">
        <f>F29/E29</f>
        <v>-3.4095967239383941E-2</v>
      </c>
      <c r="H29" s="72">
        <f>I45</f>
        <v>114</v>
      </c>
      <c r="I29" s="71">
        <f>J46</f>
        <v>108</v>
      </c>
      <c r="J29" s="71">
        <f>J45</f>
        <v>114</v>
      </c>
      <c r="K29" s="73">
        <f>D46</f>
        <v>21</v>
      </c>
      <c r="L29" s="64">
        <f>+D29*O29</f>
        <v>2222.7441285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44.8</v>
      </c>
      <c r="E30" s="71">
        <f>I88</f>
        <v>42.55</v>
      </c>
      <c r="F30" s="68">
        <f t="shared" si="0"/>
        <v>2.25</v>
      </c>
      <c r="G30" s="69">
        <f t="shared" si="3"/>
        <v>5.2878965922444184E-2</v>
      </c>
      <c r="H30" s="72">
        <f>I87</f>
        <v>43.35</v>
      </c>
      <c r="I30" s="71">
        <f>J88</f>
        <v>42.85</v>
      </c>
      <c r="J30" s="71">
        <f>J87</f>
        <v>46</v>
      </c>
      <c r="K30" s="73">
        <f>D88</f>
        <v>1645</v>
      </c>
      <c r="L30" s="64">
        <f>D30*O30</f>
        <v>9212.9855999999982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53.3</v>
      </c>
      <c r="E31" s="71">
        <f>I86</f>
        <v>53.5</v>
      </c>
      <c r="F31" s="68">
        <f>D31-E31</f>
        <v>-0.20000000000000284</v>
      </c>
      <c r="G31" s="69">
        <f t="shared" si="3"/>
        <v>-3.7383177570093989E-3</v>
      </c>
      <c r="H31" s="72">
        <f>I85</f>
        <v>53.6</v>
      </c>
      <c r="I31" s="71">
        <f>J86</f>
        <v>53</v>
      </c>
      <c r="J31" s="71">
        <f>J85</f>
        <v>54</v>
      </c>
      <c r="K31" s="73">
        <f>D86</f>
        <v>1429</v>
      </c>
      <c r="L31" s="64">
        <f>+O31*D31</f>
        <v>33699.617899999997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370.5</v>
      </c>
      <c r="E32" s="71">
        <f>I90</f>
        <v>367.5</v>
      </c>
      <c r="F32" s="68">
        <f>D32-E32</f>
        <v>3</v>
      </c>
      <c r="G32" s="69">
        <f>F32/E32</f>
        <v>8.1632653061224497E-3</v>
      </c>
      <c r="H32" s="72">
        <f>I89</f>
        <v>370</v>
      </c>
      <c r="I32" s="71">
        <f>J90</f>
        <v>368</v>
      </c>
      <c r="J32" s="71">
        <f>J89</f>
        <v>371.5</v>
      </c>
      <c r="K32" s="73">
        <f>D90</f>
        <v>118</v>
      </c>
      <c r="L32" s="64">
        <f>+O32*D32</f>
        <v>93498.268500000006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14.2</v>
      </c>
      <c r="E33" s="71">
        <f>I54</f>
        <v>14.3</v>
      </c>
      <c r="F33" s="68">
        <f>D33-E33</f>
        <v>-0.10000000000000142</v>
      </c>
      <c r="G33" s="69">
        <f>F33/E33</f>
        <v>-6.9930069930070919E-3</v>
      </c>
      <c r="H33" s="72">
        <f>I53</f>
        <v>14.65</v>
      </c>
      <c r="I33" s="71">
        <f>J54</f>
        <v>13.8</v>
      </c>
      <c r="J33" s="71">
        <f>J53</f>
        <v>14.8</v>
      </c>
      <c r="K33" s="73">
        <f>D54</f>
        <v>100</v>
      </c>
      <c r="L33" s="64">
        <f>+O33*D33</f>
        <v>911.22820000000002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91.9</v>
      </c>
      <c r="E34" s="71">
        <f>$I$52</f>
        <v>93.1</v>
      </c>
      <c r="F34" s="68">
        <f>D34-E34</f>
        <v>-1.1999999999999886</v>
      </c>
      <c r="G34" s="69">
        <f>F34/E34</f>
        <v>-1.2889366272824799E-2</v>
      </c>
      <c r="H34" s="72">
        <f>$I$51</f>
        <v>93.2</v>
      </c>
      <c r="I34" s="71">
        <f>J52</f>
        <v>91.6</v>
      </c>
      <c r="J34" s="71">
        <f>$J$51</f>
        <v>93.4</v>
      </c>
      <c r="K34" s="73">
        <f>$D$52</f>
        <v>243</v>
      </c>
      <c r="L34" s="64">
        <f>+O34*D34</f>
        <v>11081.118200000001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705</v>
      </c>
      <c r="E35" s="71">
        <f>I92</f>
        <v>725</v>
      </c>
      <c r="F35" s="68">
        <f>D35-E35</f>
        <v>-20</v>
      </c>
      <c r="G35" s="69">
        <f>F35/E35</f>
        <v>-2.7586206896551724E-2</v>
      </c>
      <c r="H35" s="72">
        <f>I91</f>
        <v>732</v>
      </c>
      <c r="I35" s="71">
        <f>J92</f>
        <v>692</v>
      </c>
      <c r="J35" s="71">
        <f>J91</f>
        <v>732</v>
      </c>
      <c r="K35" s="73">
        <f>D92</f>
        <v>105</v>
      </c>
      <c r="L35" s="64">
        <f>+O35*D35</f>
        <v>47940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9.4E-2</v>
      </c>
      <c r="E38" s="60">
        <f>M94</f>
        <v>9.9000000000000005E-2</v>
      </c>
      <c r="F38" s="61">
        <f>D38-E38</f>
        <v>-5.0000000000000044E-3</v>
      </c>
      <c r="G38" s="62">
        <f>F38/E38</f>
        <v>-5.0505050505050546E-2</v>
      </c>
      <c r="H38" s="63">
        <f>J94</f>
        <v>9.5000000000000001E-2</v>
      </c>
      <c r="I38" s="60">
        <f>L94</f>
        <v>8.8999999999999996E-2</v>
      </c>
      <c r="J38" s="60">
        <f>K94</f>
        <v>9.9000000000000005E-2</v>
      </c>
      <c r="K38" s="64">
        <f>I94</f>
        <v>13833</v>
      </c>
      <c r="L38" s="64">
        <f>+O38*D38</f>
        <v>247.64600800000002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0.33</v>
      </c>
      <c r="E39" s="60">
        <f>M95</f>
        <v>0.32500000000000001</v>
      </c>
      <c r="F39" s="61">
        <f>D39-E39</f>
        <v>5.0000000000000044E-3</v>
      </c>
      <c r="G39" s="77">
        <f>F39/E39</f>
        <v>1.5384615384615398E-2</v>
      </c>
      <c r="H39" s="63">
        <f>J95</f>
        <v>0.33500000000000002</v>
      </c>
      <c r="I39" s="60">
        <f>L95</f>
        <v>0.30499999999999999</v>
      </c>
      <c r="J39" s="60">
        <f>K95</f>
        <v>0.33500000000000002</v>
      </c>
      <c r="K39" s="64">
        <f>I95</f>
        <v>20</v>
      </c>
      <c r="L39" s="64">
        <f>+O39*D39</f>
        <v>556.42785000000003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0.61623842592592593</v>
      </c>
      <c r="D45" s="103">
        <v>108.5</v>
      </c>
      <c r="E45" s="103">
        <v>-3.83</v>
      </c>
      <c r="F45" s="103">
        <v>108.5</v>
      </c>
      <c r="G45" s="103">
        <v>111</v>
      </c>
      <c r="H45" s="103">
        <v>16</v>
      </c>
      <c r="I45" s="103">
        <v>114</v>
      </c>
      <c r="J45" s="103">
        <v>114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21</v>
      </c>
      <c r="E46" s="104">
        <v>-3.4099999999999998E-2</v>
      </c>
      <c r="F46" s="105">
        <v>1978</v>
      </c>
      <c r="G46" s="105">
        <v>2000</v>
      </c>
      <c r="H46" s="103">
        <v>2</v>
      </c>
      <c r="I46" s="103">
        <v>112.33</v>
      </c>
      <c r="J46" s="103">
        <v>108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0.53333333333333333</v>
      </c>
      <c r="D47" s="103">
        <v>39.799999999999997</v>
      </c>
      <c r="E47" s="103" t="s">
        <v>14</v>
      </c>
      <c r="F47" s="103">
        <v>39.9</v>
      </c>
      <c r="G47" s="103">
        <v>40.6</v>
      </c>
      <c r="H47" s="103">
        <v>3</v>
      </c>
      <c r="I47" s="103">
        <v>39.799999999999997</v>
      </c>
      <c r="J47" s="103">
        <v>39.799999999999997</v>
      </c>
      <c r="K47" s="103">
        <v>43.75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4</v>
      </c>
      <c r="E48" s="104" t="s">
        <v>14</v>
      </c>
      <c r="F48" s="103">
        <v>1</v>
      </c>
      <c r="G48" s="103">
        <v>2</v>
      </c>
      <c r="H48" s="103">
        <v>1</v>
      </c>
      <c r="I48" s="103">
        <v>39.799999999999997</v>
      </c>
      <c r="J48" s="103">
        <v>39.799999999999997</v>
      </c>
      <c r="K48" s="103">
        <v>35.85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197</v>
      </c>
      <c r="E49" s="103">
        <v>0.5</v>
      </c>
      <c r="F49" s="103">
        <v>197</v>
      </c>
      <c r="G49" s="103">
        <v>197.5</v>
      </c>
      <c r="H49" s="103">
        <v>42</v>
      </c>
      <c r="I49" s="103">
        <v>196.5</v>
      </c>
      <c r="J49" s="103">
        <v>198</v>
      </c>
      <c r="K49" s="103">
        <v>216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93</v>
      </c>
      <c r="E50" s="104">
        <v>2.5000000000000001E-3</v>
      </c>
      <c r="F50" s="103">
        <v>12</v>
      </c>
      <c r="G50" s="103">
        <v>1</v>
      </c>
      <c r="H50" s="103">
        <v>50</v>
      </c>
      <c r="I50" s="103">
        <v>196.5</v>
      </c>
      <c r="J50" s="103">
        <v>196.5</v>
      </c>
      <c r="K50" s="103">
        <v>177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0.60416666666666663</v>
      </c>
      <c r="D51" s="103">
        <v>91.9</v>
      </c>
      <c r="E51" s="103">
        <v>-1.2</v>
      </c>
      <c r="F51" s="103">
        <v>91.9</v>
      </c>
      <c r="G51" s="103">
        <v>92</v>
      </c>
      <c r="H51" s="105">
        <v>171</v>
      </c>
      <c r="I51" s="103">
        <v>93.2</v>
      </c>
      <c r="J51" s="103">
        <v>93.4</v>
      </c>
      <c r="K51" s="103">
        <v>102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243</v>
      </c>
      <c r="E52" s="104">
        <v>-1.29E-2</v>
      </c>
      <c r="F52" s="103">
        <v>2</v>
      </c>
      <c r="G52" s="103">
        <v>3</v>
      </c>
      <c r="H52" s="105">
        <v>71</v>
      </c>
      <c r="I52" s="103">
        <v>93.1</v>
      </c>
      <c r="J52" s="103">
        <v>91.6</v>
      </c>
      <c r="K52" s="103">
        <v>83.8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14.2</v>
      </c>
      <c r="E53" s="103">
        <v>-0.1</v>
      </c>
      <c r="F53" s="103">
        <v>13.85</v>
      </c>
      <c r="G53" s="103">
        <v>14.2</v>
      </c>
      <c r="H53" s="103">
        <v>84</v>
      </c>
      <c r="I53" s="103">
        <v>14.65</v>
      </c>
      <c r="J53" s="103">
        <v>14.8</v>
      </c>
      <c r="K53" s="103">
        <v>15.7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100</v>
      </c>
      <c r="E54" s="104">
        <v>-7.0000000000000001E-3</v>
      </c>
      <c r="F54" s="103">
        <v>1</v>
      </c>
      <c r="G54" s="103">
        <v>1</v>
      </c>
      <c r="H54" s="103">
        <v>16</v>
      </c>
      <c r="I54" s="103">
        <v>14.3</v>
      </c>
      <c r="J54" s="103">
        <v>13.8</v>
      </c>
      <c r="K54" s="103">
        <v>12.9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49.7</v>
      </c>
      <c r="E55" s="103">
        <v>0.7</v>
      </c>
      <c r="F55" s="103">
        <v>49.55</v>
      </c>
      <c r="G55" s="103">
        <v>49.7</v>
      </c>
      <c r="H55" s="105">
        <v>28</v>
      </c>
      <c r="I55" s="103">
        <v>49.2</v>
      </c>
      <c r="J55" s="103">
        <v>49.75</v>
      </c>
      <c r="K55" s="103">
        <v>53.9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84</v>
      </c>
      <c r="E56" s="104">
        <v>1.43E-2</v>
      </c>
      <c r="F56" s="103">
        <v>5</v>
      </c>
      <c r="G56" s="103">
        <v>5</v>
      </c>
      <c r="H56" s="105">
        <v>56</v>
      </c>
      <c r="I56" s="103">
        <v>49</v>
      </c>
      <c r="J56" s="103">
        <v>49</v>
      </c>
      <c r="K56" s="103">
        <v>44.1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0.5625</v>
      </c>
      <c r="D57" s="103">
        <v>59.5</v>
      </c>
      <c r="E57" s="103" t="s">
        <v>14</v>
      </c>
      <c r="F57" s="103">
        <v>59.4</v>
      </c>
      <c r="G57" s="103">
        <v>59.5</v>
      </c>
      <c r="H57" s="105">
        <v>46</v>
      </c>
      <c r="I57" s="103">
        <v>59.7</v>
      </c>
      <c r="J57" s="103">
        <v>60.1</v>
      </c>
      <c r="K57" s="103">
        <v>65.400000000000006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96</v>
      </c>
      <c r="E58" s="104" t="s">
        <v>14</v>
      </c>
      <c r="F58" s="103">
        <v>1</v>
      </c>
      <c r="G58" s="103">
        <v>2</v>
      </c>
      <c r="H58" s="105">
        <v>49</v>
      </c>
      <c r="I58" s="103">
        <v>59.5</v>
      </c>
      <c r="J58" s="103">
        <v>59.3</v>
      </c>
      <c r="K58" s="103">
        <v>53.6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0.37509259259259259</v>
      </c>
      <c r="D59" s="103">
        <v>52.4</v>
      </c>
      <c r="E59" s="103">
        <v>0.5</v>
      </c>
      <c r="F59" s="103">
        <v>51.1</v>
      </c>
      <c r="G59" s="103">
        <v>51.7</v>
      </c>
      <c r="H59" s="103" t="s">
        <v>14</v>
      </c>
      <c r="I59" s="103">
        <v>52.4</v>
      </c>
      <c r="J59" s="103">
        <v>52.4</v>
      </c>
      <c r="K59" s="103">
        <v>57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1</v>
      </c>
      <c r="E60" s="104">
        <v>9.5999999999999992E-3</v>
      </c>
      <c r="F60" s="103">
        <v>1</v>
      </c>
      <c r="G60" s="103">
        <v>1</v>
      </c>
      <c r="H60" s="103" t="s">
        <v>14</v>
      </c>
      <c r="I60" s="103">
        <v>51.9</v>
      </c>
      <c r="J60" s="103">
        <v>52.4</v>
      </c>
      <c r="K60" s="103">
        <v>46.75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0.56156249999999996</v>
      </c>
      <c r="D61" s="103">
        <v>35.950000000000003</v>
      </c>
      <c r="E61" s="103">
        <v>-0.05</v>
      </c>
      <c r="F61" s="103">
        <v>35.799999999999997</v>
      </c>
      <c r="G61" s="103">
        <v>36</v>
      </c>
      <c r="H61" s="103" t="s">
        <v>14</v>
      </c>
      <c r="I61" s="103">
        <v>35.950000000000003</v>
      </c>
      <c r="J61" s="103">
        <v>35.950000000000003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2</v>
      </c>
      <c r="E62" s="104">
        <v>-1.4E-3</v>
      </c>
      <c r="F62" s="105">
        <v>3000</v>
      </c>
      <c r="G62" s="105">
        <v>3000</v>
      </c>
      <c r="H62" s="103">
        <v>2</v>
      </c>
      <c r="I62" s="103">
        <v>36</v>
      </c>
      <c r="J62" s="103">
        <v>35.950000000000003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258</v>
      </c>
      <c r="E63" s="103">
        <v>-1.5</v>
      </c>
      <c r="F63" s="103">
        <v>258</v>
      </c>
      <c r="G63" s="103">
        <v>258.5</v>
      </c>
      <c r="H63" s="105">
        <v>1488</v>
      </c>
      <c r="I63" s="103">
        <v>260</v>
      </c>
      <c r="J63" s="103">
        <v>260.5</v>
      </c>
      <c r="K63" s="103">
        <v>285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2166</v>
      </c>
      <c r="E64" s="104">
        <v>-5.7999999999999996E-3</v>
      </c>
      <c r="F64" s="103">
        <v>166</v>
      </c>
      <c r="G64" s="103">
        <v>4</v>
      </c>
      <c r="H64" s="105">
        <v>650</v>
      </c>
      <c r="I64" s="103">
        <v>259.5</v>
      </c>
      <c r="J64" s="103">
        <v>258</v>
      </c>
      <c r="K64" s="103">
        <v>234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25.2</v>
      </c>
      <c r="E65" s="103">
        <v>0.65</v>
      </c>
      <c r="F65" s="103">
        <v>25.1</v>
      </c>
      <c r="G65" s="103">
        <v>25.2</v>
      </c>
      <c r="H65" s="105">
        <v>1830</v>
      </c>
      <c r="I65" s="103">
        <v>24.7</v>
      </c>
      <c r="J65" s="103">
        <v>25.3</v>
      </c>
      <c r="K65" s="103">
        <v>27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3337</v>
      </c>
      <c r="E66" s="104">
        <v>2.6499999999999999E-2</v>
      </c>
      <c r="F66" s="103">
        <v>7</v>
      </c>
      <c r="G66" s="103">
        <v>2</v>
      </c>
      <c r="H66" s="105">
        <v>1501</v>
      </c>
      <c r="I66" s="103">
        <v>24.55</v>
      </c>
      <c r="J66" s="103">
        <v>24.6</v>
      </c>
      <c r="K66" s="103">
        <v>22.1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508</v>
      </c>
      <c r="E67" s="103">
        <v>8</v>
      </c>
      <c r="F67" s="103">
        <v>506</v>
      </c>
      <c r="G67" s="103">
        <v>508</v>
      </c>
      <c r="H67" s="103">
        <v>78</v>
      </c>
      <c r="I67" s="103">
        <v>506</v>
      </c>
      <c r="J67" s="103">
        <v>511</v>
      </c>
      <c r="K67" s="103">
        <v>550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253</v>
      </c>
      <c r="E68" s="104">
        <v>1.6E-2</v>
      </c>
      <c r="F68" s="103">
        <v>4</v>
      </c>
      <c r="G68" s="103">
        <v>6</v>
      </c>
      <c r="H68" s="103">
        <v>173</v>
      </c>
      <c r="I68" s="103">
        <v>500</v>
      </c>
      <c r="J68" s="103">
        <v>500</v>
      </c>
      <c r="K68" s="103">
        <v>450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10.4</v>
      </c>
      <c r="E69" s="103">
        <v>-0.15</v>
      </c>
      <c r="F69" s="103">
        <v>10.4</v>
      </c>
      <c r="G69" s="103">
        <v>10.45</v>
      </c>
      <c r="H69" s="105">
        <v>617</v>
      </c>
      <c r="I69" s="103">
        <v>10.75</v>
      </c>
      <c r="J69" s="103">
        <v>10.75</v>
      </c>
      <c r="K69" s="103">
        <v>11.6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1063</v>
      </c>
      <c r="E70" s="104">
        <v>-1.4200000000000001E-2</v>
      </c>
      <c r="F70" s="103">
        <v>10</v>
      </c>
      <c r="G70" s="103">
        <v>3</v>
      </c>
      <c r="H70" s="105">
        <v>426</v>
      </c>
      <c r="I70" s="103">
        <v>10.55</v>
      </c>
      <c r="J70" s="103">
        <v>10.35</v>
      </c>
      <c r="K70" s="103">
        <v>9.5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0.60416666666666663</v>
      </c>
      <c r="D71" s="103">
        <v>211</v>
      </c>
      <c r="E71" s="103">
        <v>2.5</v>
      </c>
      <c r="F71" s="103">
        <v>211</v>
      </c>
      <c r="G71" s="103">
        <v>211.5</v>
      </c>
      <c r="H71" s="103">
        <v>89</v>
      </c>
      <c r="I71" s="103">
        <v>210.5</v>
      </c>
      <c r="J71" s="103">
        <v>212.5</v>
      </c>
      <c r="K71" s="103">
        <v>229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282</v>
      </c>
      <c r="E72" s="104">
        <v>1.2E-2</v>
      </c>
      <c r="F72" s="103">
        <v>2</v>
      </c>
      <c r="G72" s="103">
        <v>3</v>
      </c>
      <c r="H72" s="103">
        <v>191</v>
      </c>
      <c r="I72" s="103">
        <v>208.5</v>
      </c>
      <c r="J72" s="103">
        <v>209</v>
      </c>
      <c r="K72" s="103">
        <v>188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51.8</v>
      </c>
      <c r="E73" s="103">
        <v>0.3</v>
      </c>
      <c r="F73" s="103">
        <v>51.7</v>
      </c>
      <c r="G73" s="103">
        <v>52</v>
      </c>
      <c r="H73" s="103">
        <v>17</v>
      </c>
      <c r="I73" s="103">
        <v>52.4</v>
      </c>
      <c r="J73" s="103">
        <v>53.4</v>
      </c>
      <c r="K73" s="103">
        <v>56.6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20</v>
      </c>
      <c r="E74" s="104">
        <v>5.7999999999999996E-3</v>
      </c>
      <c r="F74" s="103">
        <v>1</v>
      </c>
      <c r="G74" s="103">
        <v>1</v>
      </c>
      <c r="H74" s="103">
        <v>3</v>
      </c>
      <c r="I74" s="103">
        <v>51.5</v>
      </c>
      <c r="J74" s="103">
        <v>51.6</v>
      </c>
      <c r="K74" s="103">
        <v>46.35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97.6</v>
      </c>
      <c r="E75" s="103">
        <v>0.8</v>
      </c>
      <c r="F75" s="103">
        <v>96.9</v>
      </c>
      <c r="G75" s="103">
        <v>97.6</v>
      </c>
      <c r="H75" s="103">
        <v>87</v>
      </c>
      <c r="I75" s="103">
        <v>96.8</v>
      </c>
      <c r="J75" s="103">
        <v>97.9</v>
      </c>
      <c r="K75" s="103">
        <v>106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168</v>
      </c>
      <c r="E76" s="104">
        <v>8.3000000000000001E-3</v>
      </c>
      <c r="F76" s="103">
        <v>2</v>
      </c>
      <c r="G76" s="103">
        <v>5</v>
      </c>
      <c r="H76" s="105">
        <v>72</v>
      </c>
      <c r="I76" s="103">
        <v>96.8</v>
      </c>
      <c r="J76" s="103">
        <v>96.8</v>
      </c>
      <c r="K76" s="103">
        <v>87.2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0.5625</v>
      </c>
      <c r="D77" s="103">
        <v>229</v>
      </c>
      <c r="E77" s="103">
        <v>-1.5</v>
      </c>
      <c r="F77" s="103">
        <v>229</v>
      </c>
      <c r="G77" s="103">
        <v>229.5</v>
      </c>
      <c r="H77" s="105">
        <v>197</v>
      </c>
      <c r="I77" s="103">
        <v>232</v>
      </c>
      <c r="J77" s="103">
        <v>232</v>
      </c>
      <c r="K77" s="103">
        <v>253.5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314</v>
      </c>
      <c r="E78" s="104">
        <v>-6.4999999999999997E-3</v>
      </c>
      <c r="F78" s="103">
        <v>33</v>
      </c>
      <c r="G78" s="103">
        <v>2</v>
      </c>
      <c r="H78" s="105">
        <v>115</v>
      </c>
      <c r="I78" s="103">
        <v>230.5</v>
      </c>
      <c r="J78" s="103">
        <v>229</v>
      </c>
      <c r="K78" s="103">
        <v>207.5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0.4714930555555556</v>
      </c>
      <c r="D79" s="103">
        <v>64.400000000000006</v>
      </c>
      <c r="E79" s="103">
        <v>0.5</v>
      </c>
      <c r="F79" s="103">
        <v>63.3</v>
      </c>
      <c r="G79" s="103">
        <v>64.400000000000006</v>
      </c>
      <c r="H79" s="103" t="s">
        <v>14</v>
      </c>
      <c r="I79" s="103">
        <v>64.5</v>
      </c>
      <c r="J79" s="103">
        <v>64.5</v>
      </c>
      <c r="K79" s="103">
        <v>70.2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2</v>
      </c>
      <c r="E80" s="104">
        <v>7.7999999999999996E-3</v>
      </c>
      <c r="F80" s="103">
        <v>1</v>
      </c>
      <c r="G80" s="103">
        <v>1</v>
      </c>
      <c r="H80" s="103">
        <v>2</v>
      </c>
      <c r="I80" s="103">
        <v>63.9</v>
      </c>
      <c r="J80" s="103">
        <v>64.400000000000006</v>
      </c>
      <c r="K80" s="103">
        <v>57.6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201</v>
      </c>
      <c r="E81" s="103">
        <v>1</v>
      </c>
      <c r="F81" s="103">
        <v>199.5</v>
      </c>
      <c r="G81" s="103">
        <v>202.5</v>
      </c>
      <c r="H81" s="103">
        <v>13</v>
      </c>
      <c r="I81" s="103">
        <v>200</v>
      </c>
      <c r="J81" s="103">
        <v>203</v>
      </c>
      <c r="K81" s="103">
        <v>220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31</v>
      </c>
      <c r="E82" s="104">
        <v>5.0000000000000001E-3</v>
      </c>
      <c r="F82" s="103">
        <v>3</v>
      </c>
      <c r="G82" s="103">
        <v>2</v>
      </c>
      <c r="H82" s="103">
        <v>17</v>
      </c>
      <c r="I82" s="103">
        <v>200</v>
      </c>
      <c r="J82" s="103">
        <v>198.5</v>
      </c>
      <c r="K82" s="103">
        <v>180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0.60416666666666663</v>
      </c>
      <c r="D83" s="103">
        <v>74.599999999999994</v>
      </c>
      <c r="E83" s="103" t="s">
        <v>14</v>
      </c>
      <c r="F83" s="103">
        <v>74.5</v>
      </c>
      <c r="G83" s="103">
        <v>74.599999999999994</v>
      </c>
      <c r="H83" s="105">
        <v>1547</v>
      </c>
      <c r="I83" s="103">
        <v>74.599999999999994</v>
      </c>
      <c r="J83" s="103">
        <v>75</v>
      </c>
      <c r="K83" s="103">
        <v>82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3733</v>
      </c>
      <c r="E84" s="104" t="s">
        <v>14</v>
      </c>
      <c r="F84" s="103">
        <v>8</v>
      </c>
      <c r="G84" s="103">
        <v>122</v>
      </c>
      <c r="H84" s="105">
        <v>2131</v>
      </c>
      <c r="I84" s="103">
        <v>74.599999999999994</v>
      </c>
      <c r="J84" s="103">
        <v>74</v>
      </c>
      <c r="K84" s="103">
        <v>67.2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53.3</v>
      </c>
      <c r="E85" s="103">
        <v>-0.2</v>
      </c>
      <c r="F85" s="103">
        <v>53.2</v>
      </c>
      <c r="G85" s="103">
        <v>53.3</v>
      </c>
      <c r="H85" s="105">
        <v>827</v>
      </c>
      <c r="I85" s="103">
        <v>53.6</v>
      </c>
      <c r="J85" s="103">
        <v>54</v>
      </c>
      <c r="K85" s="103">
        <v>58.8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1429</v>
      </c>
      <c r="E86" s="104">
        <v>-3.7000000000000002E-3</v>
      </c>
      <c r="F86" s="103">
        <v>4</v>
      </c>
      <c r="G86" s="103">
        <v>14</v>
      </c>
      <c r="H86" s="105">
        <v>548</v>
      </c>
      <c r="I86" s="103">
        <v>53.5</v>
      </c>
      <c r="J86" s="103">
        <v>53</v>
      </c>
      <c r="K86" s="103">
        <v>48.15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44.8</v>
      </c>
      <c r="E87" s="103">
        <v>2.25</v>
      </c>
      <c r="F87" s="103">
        <v>44.75</v>
      </c>
      <c r="G87" s="103">
        <v>44.8</v>
      </c>
      <c r="H87" s="105">
        <v>680</v>
      </c>
      <c r="I87" s="103">
        <v>43.35</v>
      </c>
      <c r="J87" s="103">
        <v>46</v>
      </c>
      <c r="K87" s="103">
        <v>46.8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1645</v>
      </c>
      <c r="E88" s="104">
        <v>5.2900000000000003E-2</v>
      </c>
      <c r="F88" s="105">
        <v>11</v>
      </c>
      <c r="G88" s="103">
        <v>13</v>
      </c>
      <c r="H88" s="105">
        <v>951</v>
      </c>
      <c r="I88" s="103">
        <v>42.55</v>
      </c>
      <c r="J88" s="103">
        <v>42.85</v>
      </c>
      <c r="K88" s="103">
        <v>38.299999999999997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370.5</v>
      </c>
      <c r="E89" s="103">
        <v>3</v>
      </c>
      <c r="F89" s="103">
        <v>368</v>
      </c>
      <c r="G89" s="103">
        <v>370.5</v>
      </c>
      <c r="H89" s="103">
        <v>47</v>
      </c>
      <c r="I89" s="103">
        <v>370</v>
      </c>
      <c r="J89" s="103">
        <v>371.5</v>
      </c>
      <c r="K89" s="103">
        <v>404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118</v>
      </c>
      <c r="E90" s="104">
        <v>8.2000000000000007E-3</v>
      </c>
      <c r="F90" s="103">
        <v>8</v>
      </c>
      <c r="G90" s="103">
        <v>4</v>
      </c>
      <c r="H90" s="105">
        <v>70</v>
      </c>
      <c r="I90" s="103">
        <v>367.5</v>
      </c>
      <c r="J90" s="103">
        <v>368</v>
      </c>
      <c r="K90" s="103">
        <v>331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705</v>
      </c>
      <c r="E91" s="103">
        <v>-20</v>
      </c>
      <c r="F91" s="103">
        <v>700</v>
      </c>
      <c r="G91" s="103">
        <v>707</v>
      </c>
      <c r="H91" s="103">
        <v>58</v>
      </c>
      <c r="I91" s="103">
        <v>732</v>
      </c>
      <c r="J91" s="103">
        <v>732</v>
      </c>
      <c r="K91" s="103">
        <v>797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105</v>
      </c>
      <c r="E92" s="104">
        <v>-2.76E-2</v>
      </c>
      <c r="F92" s="103">
        <v>10</v>
      </c>
      <c r="G92" s="103">
        <v>3</v>
      </c>
      <c r="H92" s="103">
        <v>47</v>
      </c>
      <c r="I92" s="103">
        <v>725</v>
      </c>
      <c r="J92" s="103">
        <v>692</v>
      </c>
      <c r="K92" s="103">
        <v>653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9.4E-2</v>
      </c>
      <c r="G94" s="86">
        <f>F94-M94</f>
        <v>-5.0000000000000044E-3</v>
      </c>
      <c r="H94" s="87">
        <f>F94/M94-1</f>
        <v>-5.0505050505050497E-2</v>
      </c>
      <c r="I94" s="98">
        <v>13833</v>
      </c>
      <c r="J94" s="100">
        <v>9.5000000000000001E-2</v>
      </c>
      <c r="K94" s="100">
        <v>9.9000000000000005E-2</v>
      </c>
      <c r="L94" s="100">
        <v>8.8999999999999996E-2</v>
      </c>
      <c r="M94" s="88">
        <v>9.9000000000000005E-2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0.33</v>
      </c>
      <c r="G95" s="86">
        <f>F95-M95</f>
        <v>5.0000000000000044E-3</v>
      </c>
      <c r="H95" s="87">
        <f>F95/M95-1</f>
        <v>1.538461538461533E-2</v>
      </c>
      <c r="I95" s="98">
        <v>20</v>
      </c>
      <c r="J95" s="100">
        <v>0.33500000000000002</v>
      </c>
      <c r="K95" s="100">
        <v>0.33500000000000002</v>
      </c>
      <c r="L95" s="100">
        <v>0.30499999999999999</v>
      </c>
      <c r="M95" s="88">
        <v>0.32500000000000001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E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45735.765750925922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21960.83</v>
      </c>
      <c r="E6" s="94">
        <v>22271.67</v>
      </c>
      <c r="F6" s="33">
        <f>(D6-E6)/E6</f>
        <v>-1.3956744150752796E-2</v>
      </c>
      <c r="G6" s="34"/>
      <c r="H6" s="91">
        <f>ROUND(316992611689/100000000,2)</f>
        <v>3169.93</v>
      </c>
      <c r="I6" s="91">
        <v>2828.87</v>
      </c>
      <c r="J6" s="35">
        <f>+H6-I6</f>
        <v>341.05999999999995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24771.14</v>
      </c>
      <c r="E8" s="90">
        <v>24740.57</v>
      </c>
      <c r="F8" s="33">
        <f>(D8-E8)/E8</f>
        <v>1.2356222997287334E-3</v>
      </c>
      <c r="G8" s="34"/>
      <c r="H8" s="91">
        <v>2718.59</v>
      </c>
      <c r="I8" s="91">
        <v>2859.35</v>
      </c>
      <c r="J8" s="35">
        <f>+H8-I8</f>
        <v>-140.75999999999976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今日收盤3/19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52.3</v>
      </c>
      <c r="E13" s="60">
        <f>I60</f>
        <v>52.4</v>
      </c>
      <c r="F13" s="61">
        <f>D13-E13</f>
        <v>-0.10000000000000142</v>
      </c>
      <c r="G13" s="62">
        <f>F13/E13</f>
        <v>-1.9083969465649127E-3</v>
      </c>
      <c r="H13" s="63">
        <f>I59</f>
        <v>52</v>
      </c>
      <c r="I13" s="60">
        <f>J60</f>
        <v>52</v>
      </c>
      <c r="J13" s="60">
        <f>J59</f>
        <v>52.3</v>
      </c>
      <c r="K13" s="64">
        <f>D60</f>
        <v>4</v>
      </c>
      <c r="L13" s="64">
        <f>+O13*D13</f>
        <v>2478.4786950000002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257</v>
      </c>
      <c r="E14" s="60">
        <f>I64</f>
        <v>258</v>
      </c>
      <c r="F14" s="61">
        <f t="shared" ref="F14:F30" si="0">D14-E14</f>
        <v>-1</v>
      </c>
      <c r="G14" s="62">
        <f>F14/E14</f>
        <v>-3.875968992248062E-3</v>
      </c>
      <c r="H14" s="63">
        <f>I63</f>
        <v>258</v>
      </c>
      <c r="I14" s="60">
        <f>J64</f>
        <v>257</v>
      </c>
      <c r="J14" s="60">
        <f>J63</f>
        <v>259.5</v>
      </c>
      <c r="K14" s="73">
        <f>D64</f>
        <v>1630</v>
      </c>
      <c r="L14" s="64">
        <f>+O14*D14</f>
        <v>267182.85399999999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198.5</v>
      </c>
      <c r="E15" s="71">
        <f>$I$50</f>
        <v>197</v>
      </c>
      <c r="F15" s="61">
        <f>D15-E15</f>
        <v>1.5</v>
      </c>
      <c r="G15" s="62">
        <f>F15/E15</f>
        <v>7.6142131979695434E-3</v>
      </c>
      <c r="H15" s="72">
        <f>$I$49</f>
        <v>197</v>
      </c>
      <c r="I15" s="60">
        <f>J50</f>
        <v>196.5</v>
      </c>
      <c r="J15" s="71">
        <f>$J$49</f>
        <v>198.5</v>
      </c>
      <c r="K15" s="73">
        <f>$D$50</f>
        <v>101</v>
      </c>
      <c r="L15" s="64">
        <f>D15*O15</f>
        <v>44309.17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39.799999999999997</v>
      </c>
      <c r="E16" s="71">
        <f>I48</f>
        <v>39.799999999999997</v>
      </c>
      <c r="F16" s="61">
        <f>D16-E16</f>
        <v>0</v>
      </c>
      <c r="G16" s="62">
        <f>F16/E16</f>
        <v>0</v>
      </c>
      <c r="H16" s="72">
        <f>I47</f>
        <v>40</v>
      </c>
      <c r="I16" s="60">
        <f>J48</f>
        <v>39.799999999999997</v>
      </c>
      <c r="J16" s="71">
        <f>J47</f>
        <v>40</v>
      </c>
      <c r="K16" s="73">
        <f>D48</f>
        <v>14</v>
      </c>
      <c r="L16" s="64">
        <f>D16*O16</f>
        <v>2686.5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25.15</v>
      </c>
      <c r="E17" s="60">
        <f>I66</f>
        <v>25.2</v>
      </c>
      <c r="F17" s="61">
        <f t="shared" si="0"/>
        <v>-5.0000000000000711E-2</v>
      </c>
      <c r="G17" s="62">
        <f t="shared" ref="G17:G22" si="1">F17/E17</f>
        <v>-1.9841269841270122E-3</v>
      </c>
      <c r="H17" s="63">
        <f>I65</f>
        <v>25.2</v>
      </c>
      <c r="I17" s="60">
        <f>J66</f>
        <v>25.05</v>
      </c>
      <c r="J17" s="60">
        <f>J65</f>
        <v>25.6</v>
      </c>
      <c r="K17" s="64">
        <f>D66</f>
        <v>3259</v>
      </c>
      <c r="L17" s="64">
        <f>+O17*D17</f>
        <v>35636.066149999999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508</v>
      </c>
      <c r="E18" s="60">
        <f>I68</f>
        <v>508</v>
      </c>
      <c r="F18" s="61">
        <f t="shared" si="0"/>
        <v>0</v>
      </c>
      <c r="G18" s="62">
        <f t="shared" si="1"/>
        <v>0</v>
      </c>
      <c r="H18" s="63">
        <f>I67</f>
        <v>505</v>
      </c>
      <c r="I18" s="60">
        <f>J68</f>
        <v>505</v>
      </c>
      <c r="J18" s="60">
        <f>J67</f>
        <v>513</v>
      </c>
      <c r="K18" s="64">
        <f>D68</f>
        <v>164</v>
      </c>
      <c r="L18" s="64">
        <f>+O18*D18</f>
        <v>53307.488000000005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10.050000000000001</v>
      </c>
      <c r="E19" s="60">
        <f>I70</f>
        <v>10.4</v>
      </c>
      <c r="F19" s="61">
        <f t="shared" si="0"/>
        <v>-0.34999999999999964</v>
      </c>
      <c r="G19" s="62">
        <f>F19/E19</f>
        <v>-3.3653846153846118E-2</v>
      </c>
      <c r="H19" s="63">
        <f>I69</f>
        <v>10.55</v>
      </c>
      <c r="I19" s="60">
        <f>J70</f>
        <v>9.99</v>
      </c>
      <c r="J19" s="60">
        <f>J69</f>
        <v>10.55</v>
      </c>
      <c r="K19" s="64">
        <f>D70</f>
        <v>1286</v>
      </c>
      <c r="L19" s="64">
        <f>+O19*D19</f>
        <v>1965.0865500000002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35.549999999999997</v>
      </c>
      <c r="E20" s="60">
        <f>I62</f>
        <v>35.950000000000003</v>
      </c>
      <c r="F20" s="61">
        <f>D20-E20</f>
        <v>-0.40000000000000568</v>
      </c>
      <c r="G20" s="62">
        <f>F20/E20</f>
        <v>-1.112656467315732E-2</v>
      </c>
      <c r="H20" s="63">
        <f>I61</f>
        <v>35.799999999999997</v>
      </c>
      <c r="I20" s="60">
        <f>J62</f>
        <v>35.049999999999997</v>
      </c>
      <c r="J20" s="60">
        <f>J61</f>
        <v>35.950000000000003</v>
      </c>
      <c r="K20" s="64">
        <f>D62</f>
        <v>4</v>
      </c>
      <c r="L20" s="64">
        <f>O20*D20</f>
        <v>2133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212</v>
      </c>
      <c r="E21" s="60">
        <f>I72</f>
        <v>211</v>
      </c>
      <c r="F21" s="61">
        <f t="shared" si="0"/>
        <v>1</v>
      </c>
      <c r="G21" s="62">
        <f t="shared" si="1"/>
        <v>4.7393364928909956E-3</v>
      </c>
      <c r="H21" s="63">
        <f>I71</f>
        <v>212.5</v>
      </c>
      <c r="I21" s="60">
        <f>J72</f>
        <v>211.5</v>
      </c>
      <c r="J21" s="60">
        <f>J71</f>
        <v>214</v>
      </c>
      <c r="K21" s="64">
        <f>D72</f>
        <v>620</v>
      </c>
      <c r="L21" s="64">
        <f t="shared" ref="L21:L28" si="2">+O21*D21</f>
        <v>27009.436000000002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51.5</v>
      </c>
      <c r="E22" s="60">
        <f>I74</f>
        <v>51.8</v>
      </c>
      <c r="F22" s="61">
        <f t="shared" si="0"/>
        <v>-0.29999999999999716</v>
      </c>
      <c r="G22" s="62">
        <f t="shared" si="1"/>
        <v>-5.7915057915057366E-3</v>
      </c>
      <c r="H22" s="63">
        <f>I73</f>
        <v>52</v>
      </c>
      <c r="I22" s="60">
        <f>J74</f>
        <v>50.9</v>
      </c>
      <c r="J22" s="60">
        <f>J73</f>
        <v>52.3</v>
      </c>
      <c r="K22" s="64">
        <f>D74</f>
        <v>82</v>
      </c>
      <c r="L22" s="64">
        <f t="shared" si="2"/>
        <v>18896.500664499999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48.7</v>
      </c>
      <c r="E23" s="60">
        <f>I56</f>
        <v>49.7</v>
      </c>
      <c r="F23" s="61">
        <f>D23-E23</f>
        <v>-1</v>
      </c>
      <c r="G23" s="62">
        <f>F23/E23</f>
        <v>-2.0120724346076459E-2</v>
      </c>
      <c r="H23" s="63">
        <f>I55</f>
        <v>50.2</v>
      </c>
      <c r="I23" s="60">
        <f>J56</f>
        <v>48.7</v>
      </c>
      <c r="J23" s="60">
        <f>J55</f>
        <v>50.2</v>
      </c>
      <c r="K23" s="64">
        <f>D56</f>
        <v>79</v>
      </c>
      <c r="L23" s="64">
        <f t="shared" si="2"/>
        <v>4457.3162000000002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59</v>
      </c>
      <c r="E24" s="60">
        <f>I58</f>
        <v>59.5</v>
      </c>
      <c r="F24" s="68">
        <f t="shared" si="0"/>
        <v>-0.5</v>
      </c>
      <c r="G24" s="69">
        <f>F24/E24</f>
        <v>-8.4033613445378148E-3</v>
      </c>
      <c r="H24" s="63">
        <f>I57</f>
        <v>59.2</v>
      </c>
      <c r="I24" s="60">
        <f>J58</f>
        <v>59</v>
      </c>
      <c r="J24" s="60">
        <f>J57</f>
        <v>59.3</v>
      </c>
      <c r="K24" s="64">
        <f>D58</f>
        <v>47</v>
      </c>
      <c r="L24" s="64">
        <f t="shared" si="2"/>
        <v>6240.9609999999993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96.7</v>
      </c>
      <c r="E25" s="71">
        <f>I76</f>
        <v>97.6</v>
      </c>
      <c r="F25" s="68">
        <f t="shared" si="0"/>
        <v>-0.89999999999999147</v>
      </c>
      <c r="G25" s="69">
        <f t="shared" ref="G25:G31" si="3">F25/E25</f>
        <v>-9.2213114754097492E-3</v>
      </c>
      <c r="H25" s="72">
        <f>I75</f>
        <v>97.6</v>
      </c>
      <c r="I25" s="60">
        <f>J76</f>
        <v>96.1</v>
      </c>
      <c r="J25" s="71">
        <f>J75</f>
        <v>97.6</v>
      </c>
      <c r="K25" s="73">
        <f>D76</f>
        <v>237</v>
      </c>
      <c r="L25" s="64">
        <f t="shared" si="2"/>
        <v>17406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231.5</v>
      </c>
      <c r="E26" s="71">
        <f>I78</f>
        <v>229</v>
      </c>
      <c r="F26" s="68">
        <f t="shared" si="0"/>
        <v>2.5</v>
      </c>
      <c r="G26" s="69">
        <f t="shared" si="3"/>
        <v>1.0917030567685589E-2</v>
      </c>
      <c r="H26" s="72">
        <f>I77</f>
        <v>229</v>
      </c>
      <c r="I26" s="71">
        <f>J78</f>
        <v>229</v>
      </c>
      <c r="J26" s="71">
        <f>J77</f>
        <v>231.5</v>
      </c>
      <c r="K26" s="73">
        <f>D78</f>
        <v>143</v>
      </c>
      <c r="L26" s="64">
        <f t="shared" si="2"/>
        <v>19550.406499999997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63.3</v>
      </c>
      <c r="E27" s="71">
        <f>I80</f>
        <v>64.400000000000006</v>
      </c>
      <c r="F27" s="68">
        <f>D27-E27</f>
        <v>-1.1000000000000085</v>
      </c>
      <c r="G27" s="69">
        <f>F27/E27</f>
        <v>-1.7080745341615036E-2</v>
      </c>
      <c r="H27" s="72">
        <f>I79</f>
        <v>64.5</v>
      </c>
      <c r="I27" s="71">
        <f>J80</f>
        <v>63.3</v>
      </c>
      <c r="J27" s="71">
        <f>J79</f>
        <v>64.5</v>
      </c>
      <c r="K27" s="73">
        <f>D80</f>
        <v>3</v>
      </c>
      <c r="L27" s="64">
        <f t="shared" si="2"/>
        <v>2050.2553499999999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199.5</v>
      </c>
      <c r="E28" s="71">
        <f>I82</f>
        <v>201</v>
      </c>
      <c r="F28" s="68">
        <f t="shared" si="0"/>
        <v>-1.5</v>
      </c>
      <c r="G28" s="69">
        <f t="shared" si="3"/>
        <v>-7.462686567164179E-3</v>
      </c>
      <c r="H28" s="72">
        <f>I81</f>
        <v>200</v>
      </c>
      <c r="I28" s="71">
        <f>J82</f>
        <v>198.5</v>
      </c>
      <c r="J28" s="71">
        <f>J81</f>
        <v>200</v>
      </c>
      <c r="K28" s="73">
        <f>D82</f>
        <v>12</v>
      </c>
      <c r="L28" s="64">
        <f t="shared" si="2"/>
        <v>7880.4494999999997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110.5</v>
      </c>
      <c r="E29" s="71">
        <f>I46</f>
        <v>109.52</v>
      </c>
      <c r="F29" s="68">
        <f>D29-E29</f>
        <v>0.98000000000000398</v>
      </c>
      <c r="G29" s="69">
        <f>F29/E29</f>
        <v>8.9481373265157416E-3</v>
      </c>
      <c r="H29" s="72">
        <f>I45</f>
        <v>111</v>
      </c>
      <c r="I29" s="71">
        <f>J46</f>
        <v>108</v>
      </c>
      <c r="J29" s="71">
        <f>J45</f>
        <v>111.5</v>
      </c>
      <c r="K29" s="73">
        <f>D46</f>
        <v>6</v>
      </c>
      <c r="L29" s="64">
        <f>+D29*O29</f>
        <v>2263.7163705000003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43.8</v>
      </c>
      <c r="E30" s="71">
        <f>I88</f>
        <v>44.8</v>
      </c>
      <c r="F30" s="68">
        <f t="shared" si="0"/>
        <v>-1</v>
      </c>
      <c r="G30" s="69">
        <f t="shared" si="3"/>
        <v>-2.2321428571428572E-2</v>
      </c>
      <c r="H30" s="72">
        <f>I87</f>
        <v>45</v>
      </c>
      <c r="I30" s="71">
        <f>J88</f>
        <v>43.4</v>
      </c>
      <c r="J30" s="71">
        <f>J87</f>
        <v>45</v>
      </c>
      <c r="K30" s="73">
        <f>D88</f>
        <v>905</v>
      </c>
      <c r="L30" s="64">
        <f>D30*O30</f>
        <v>9007.3385999999991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52.4</v>
      </c>
      <c r="E31" s="71">
        <f>I86</f>
        <v>53.3</v>
      </c>
      <c r="F31" s="68">
        <f>D31-E31</f>
        <v>-0.89999999999999858</v>
      </c>
      <c r="G31" s="69">
        <f t="shared" si="3"/>
        <v>-1.6885553470919298E-2</v>
      </c>
      <c r="H31" s="72">
        <f>I85</f>
        <v>53.4</v>
      </c>
      <c r="I31" s="71">
        <f>J86</f>
        <v>52.1</v>
      </c>
      <c r="J31" s="71">
        <f>J85</f>
        <v>53.4</v>
      </c>
      <c r="K31" s="73">
        <f>D86</f>
        <v>1164</v>
      </c>
      <c r="L31" s="64">
        <f>+O31*D31</f>
        <v>33130.581200000001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364</v>
      </c>
      <c r="E32" s="71">
        <f>I90</f>
        <v>370.5</v>
      </c>
      <c r="F32" s="68">
        <f>D32-E32</f>
        <v>-6.5</v>
      </c>
      <c r="G32" s="69">
        <f>F32/E32</f>
        <v>-1.7543859649122806E-2</v>
      </c>
      <c r="H32" s="72">
        <f>I89</f>
        <v>367</v>
      </c>
      <c r="I32" s="71">
        <f>J90</f>
        <v>362.5</v>
      </c>
      <c r="J32" s="71">
        <f>J89</f>
        <v>368.5</v>
      </c>
      <c r="K32" s="73">
        <f>D90</f>
        <v>248</v>
      </c>
      <c r="L32" s="64">
        <f>+O32*D32</f>
        <v>91857.948000000004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13.8</v>
      </c>
      <c r="E33" s="71">
        <f>I54</f>
        <v>14.2</v>
      </c>
      <c r="F33" s="68">
        <f>D33-E33</f>
        <v>-0.39999999999999858</v>
      </c>
      <c r="G33" s="69">
        <f>F33/E33</f>
        <v>-2.8169014084506942E-2</v>
      </c>
      <c r="H33" s="72">
        <f>I53</f>
        <v>13.9</v>
      </c>
      <c r="I33" s="71">
        <f>J54</f>
        <v>13.5</v>
      </c>
      <c r="J33" s="71">
        <f>J53</f>
        <v>13.9</v>
      </c>
      <c r="K33" s="73">
        <f>D54</f>
        <v>32</v>
      </c>
      <c r="L33" s="64">
        <f>+O33*D33</f>
        <v>885.55980000000011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91</v>
      </c>
      <c r="E34" s="71">
        <f>$I$52</f>
        <v>91.9</v>
      </c>
      <c r="F34" s="68">
        <f>D34-E34</f>
        <v>-0.90000000000000568</v>
      </c>
      <c r="G34" s="69">
        <f>F34/E34</f>
        <v>-9.7932535364527278E-3</v>
      </c>
      <c r="H34" s="72">
        <f>$I$51</f>
        <v>93.4</v>
      </c>
      <c r="I34" s="71">
        <f>J52</f>
        <v>90.8</v>
      </c>
      <c r="J34" s="71">
        <f>$J$51</f>
        <v>93.4</v>
      </c>
      <c r="K34" s="73">
        <f>$D$52</f>
        <v>201</v>
      </c>
      <c r="L34" s="64">
        <f>+O34*D34</f>
        <v>10972.598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675</v>
      </c>
      <c r="E35" s="71">
        <f>I92</f>
        <v>705</v>
      </c>
      <c r="F35" s="68">
        <f>D35-E35</f>
        <v>-30</v>
      </c>
      <c r="G35" s="69">
        <f>F35/E35</f>
        <v>-4.2553191489361701E-2</v>
      </c>
      <c r="H35" s="72">
        <f>I91</f>
        <v>696</v>
      </c>
      <c r="I35" s="71">
        <f>J92</f>
        <v>658</v>
      </c>
      <c r="J35" s="71">
        <f>J91</f>
        <v>700</v>
      </c>
      <c r="K35" s="73">
        <f>D92</f>
        <v>277</v>
      </c>
      <c r="L35" s="64">
        <f>+O35*D35</f>
        <v>45900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9.1999999999999998E-2</v>
      </c>
      <c r="E38" s="60">
        <f>M94</f>
        <v>9.4E-2</v>
      </c>
      <c r="F38" s="61">
        <f>D38-E38</f>
        <v>-2.0000000000000018E-3</v>
      </c>
      <c r="G38" s="62">
        <f>F38/E38</f>
        <v>-2.1276595744680871E-2</v>
      </c>
      <c r="H38" s="63">
        <f>J94</f>
        <v>9.2999999999999999E-2</v>
      </c>
      <c r="I38" s="60">
        <f>L94</f>
        <v>9.0999999999999998E-2</v>
      </c>
      <c r="J38" s="60">
        <f>K94</f>
        <v>9.5000000000000001E-2</v>
      </c>
      <c r="K38" s="64">
        <f>I94</f>
        <v>1137</v>
      </c>
      <c r="L38" s="64">
        <f>+O38*D38</f>
        <v>242.37694400000001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0.32</v>
      </c>
      <c r="E39" s="60">
        <f>M95</f>
        <v>0.33</v>
      </c>
      <c r="F39" s="61">
        <f>D39-E39</f>
        <v>-1.0000000000000009E-2</v>
      </c>
      <c r="G39" s="77">
        <f>F39/E39</f>
        <v>-3.0303030303030328E-2</v>
      </c>
      <c r="H39" s="63">
        <f>J95</f>
        <v>0.33</v>
      </c>
      <c r="I39" s="60">
        <f>L95</f>
        <v>0.31</v>
      </c>
      <c r="J39" s="60">
        <f>K95</f>
        <v>0.33</v>
      </c>
      <c r="K39" s="64">
        <f>I95</f>
        <v>48</v>
      </c>
      <c r="L39" s="64">
        <f>+O39*D39</f>
        <v>539.56640000000004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0.62244212962962964</v>
      </c>
      <c r="D45" s="103">
        <v>110.5</v>
      </c>
      <c r="E45" s="103">
        <v>0.98</v>
      </c>
      <c r="F45" s="103">
        <v>109</v>
      </c>
      <c r="G45" s="103">
        <v>110.5</v>
      </c>
      <c r="H45" s="103">
        <v>2</v>
      </c>
      <c r="I45" s="103">
        <v>111</v>
      </c>
      <c r="J45" s="103">
        <v>111.5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6</v>
      </c>
      <c r="E46" s="104">
        <v>8.8999999999999999E-3</v>
      </c>
      <c r="F46" s="105">
        <v>1985</v>
      </c>
      <c r="G46" s="105">
        <v>3950</v>
      </c>
      <c r="H46" s="103">
        <v>2</v>
      </c>
      <c r="I46" s="103">
        <v>109.52</v>
      </c>
      <c r="J46" s="103">
        <v>108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0.53658564814814813</v>
      </c>
      <c r="D47" s="103">
        <v>39.799999999999997</v>
      </c>
      <c r="E47" s="103" t="s">
        <v>14</v>
      </c>
      <c r="F47" s="103">
        <v>39.799999999999997</v>
      </c>
      <c r="G47" s="103">
        <v>40.25</v>
      </c>
      <c r="H47" s="103">
        <v>14</v>
      </c>
      <c r="I47" s="103">
        <v>40</v>
      </c>
      <c r="J47" s="103">
        <v>40</v>
      </c>
      <c r="K47" s="103">
        <v>43.75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14</v>
      </c>
      <c r="E48" s="104" t="s">
        <v>14</v>
      </c>
      <c r="F48" s="103">
        <v>2</v>
      </c>
      <c r="G48" s="103">
        <v>1</v>
      </c>
      <c r="H48" s="103" t="s">
        <v>14</v>
      </c>
      <c r="I48" s="103">
        <v>39.799999999999997</v>
      </c>
      <c r="J48" s="103">
        <v>39.799999999999997</v>
      </c>
      <c r="K48" s="103">
        <v>35.85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198.5</v>
      </c>
      <c r="E49" s="103">
        <v>1.5</v>
      </c>
      <c r="F49" s="103">
        <v>198.5</v>
      </c>
      <c r="G49" s="103">
        <v>199</v>
      </c>
      <c r="H49" s="103">
        <v>62</v>
      </c>
      <c r="I49" s="103">
        <v>197</v>
      </c>
      <c r="J49" s="103">
        <v>198.5</v>
      </c>
      <c r="K49" s="103">
        <v>216.5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101</v>
      </c>
      <c r="E50" s="104">
        <v>7.6E-3</v>
      </c>
      <c r="F50" s="103">
        <v>3</v>
      </c>
      <c r="G50" s="103">
        <v>16</v>
      </c>
      <c r="H50" s="103">
        <v>37</v>
      </c>
      <c r="I50" s="103">
        <v>197</v>
      </c>
      <c r="J50" s="103">
        <v>196.5</v>
      </c>
      <c r="K50" s="103">
        <v>177.5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0.5625</v>
      </c>
      <c r="D51" s="103">
        <v>91</v>
      </c>
      <c r="E51" s="103">
        <v>-0.9</v>
      </c>
      <c r="F51" s="103">
        <v>91</v>
      </c>
      <c r="G51" s="103">
        <v>91.2</v>
      </c>
      <c r="H51" s="105">
        <v>132</v>
      </c>
      <c r="I51" s="103">
        <v>93.4</v>
      </c>
      <c r="J51" s="103">
        <v>93.4</v>
      </c>
      <c r="K51" s="103">
        <v>101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201</v>
      </c>
      <c r="E52" s="104">
        <v>-9.7999999999999997E-3</v>
      </c>
      <c r="F52" s="103">
        <v>31</v>
      </c>
      <c r="G52" s="103">
        <v>1</v>
      </c>
      <c r="H52" s="105">
        <v>65</v>
      </c>
      <c r="I52" s="103">
        <v>91.9</v>
      </c>
      <c r="J52" s="103">
        <v>90.8</v>
      </c>
      <c r="K52" s="103">
        <v>82.8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0.53502314814814811</v>
      </c>
      <c r="D53" s="103">
        <v>13.8</v>
      </c>
      <c r="E53" s="103">
        <v>-0.4</v>
      </c>
      <c r="F53" s="103">
        <v>13.85</v>
      </c>
      <c r="G53" s="103">
        <v>14</v>
      </c>
      <c r="H53" s="103">
        <v>31</v>
      </c>
      <c r="I53" s="103">
        <v>13.9</v>
      </c>
      <c r="J53" s="103">
        <v>13.9</v>
      </c>
      <c r="K53" s="103">
        <v>15.6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32</v>
      </c>
      <c r="E54" s="104">
        <v>-2.8199999999999999E-2</v>
      </c>
      <c r="F54" s="103">
        <v>1</v>
      </c>
      <c r="G54" s="103">
        <v>1</v>
      </c>
      <c r="H54" s="103">
        <v>1</v>
      </c>
      <c r="I54" s="103">
        <v>14.2</v>
      </c>
      <c r="J54" s="103">
        <v>13.5</v>
      </c>
      <c r="K54" s="103">
        <v>12.8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48.7</v>
      </c>
      <c r="E55" s="103">
        <v>-1</v>
      </c>
      <c r="F55" s="103">
        <v>48.65</v>
      </c>
      <c r="G55" s="103">
        <v>48.7</v>
      </c>
      <c r="H55" s="105">
        <v>52</v>
      </c>
      <c r="I55" s="103">
        <v>50.2</v>
      </c>
      <c r="J55" s="103">
        <v>50.2</v>
      </c>
      <c r="K55" s="103">
        <v>54.6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79</v>
      </c>
      <c r="E56" s="104">
        <v>-2.01E-2</v>
      </c>
      <c r="F56" s="103">
        <v>1</v>
      </c>
      <c r="G56" s="103">
        <v>1</v>
      </c>
      <c r="H56" s="105">
        <v>26</v>
      </c>
      <c r="I56" s="103">
        <v>49.7</v>
      </c>
      <c r="J56" s="103">
        <v>48.7</v>
      </c>
      <c r="K56" s="103">
        <v>44.75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0.60416666666666663</v>
      </c>
      <c r="D57" s="103">
        <v>59</v>
      </c>
      <c r="E57" s="103">
        <v>-0.5</v>
      </c>
      <c r="F57" s="103">
        <v>59</v>
      </c>
      <c r="G57" s="103">
        <v>59.1</v>
      </c>
      <c r="H57" s="105">
        <v>43</v>
      </c>
      <c r="I57" s="103">
        <v>59.2</v>
      </c>
      <c r="J57" s="103">
        <v>59.3</v>
      </c>
      <c r="K57" s="103">
        <v>65.400000000000006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47</v>
      </c>
      <c r="E58" s="104">
        <v>-8.3999999999999995E-3</v>
      </c>
      <c r="F58" s="103">
        <v>1</v>
      </c>
      <c r="G58" s="103">
        <v>1</v>
      </c>
      <c r="H58" s="105">
        <v>4</v>
      </c>
      <c r="I58" s="103">
        <v>59.5</v>
      </c>
      <c r="J58" s="103">
        <v>59</v>
      </c>
      <c r="K58" s="103">
        <v>53.6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0.55877314814814816</v>
      </c>
      <c r="D59" s="103">
        <v>52.3</v>
      </c>
      <c r="E59" s="103">
        <v>-0.1</v>
      </c>
      <c r="F59" s="103">
        <v>51.6</v>
      </c>
      <c r="G59" s="103">
        <v>52</v>
      </c>
      <c r="H59" s="103" t="s">
        <v>14</v>
      </c>
      <c r="I59" s="103">
        <v>52</v>
      </c>
      <c r="J59" s="103">
        <v>52.3</v>
      </c>
      <c r="K59" s="103">
        <v>57.6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4</v>
      </c>
      <c r="E60" s="104">
        <v>-1.9E-3</v>
      </c>
      <c r="F60" s="103">
        <v>1</v>
      </c>
      <c r="G60" s="103">
        <v>1</v>
      </c>
      <c r="H60" s="103">
        <v>4</v>
      </c>
      <c r="I60" s="103">
        <v>52.4</v>
      </c>
      <c r="J60" s="103">
        <v>52</v>
      </c>
      <c r="K60" s="103">
        <v>47.2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0.58144675925925926</v>
      </c>
      <c r="D61" s="103">
        <v>35.549999999999997</v>
      </c>
      <c r="E61" s="103">
        <v>-0.4</v>
      </c>
      <c r="F61" s="103">
        <v>35.35</v>
      </c>
      <c r="G61" s="103">
        <v>35.549999999999997</v>
      </c>
      <c r="H61" s="103">
        <v>3</v>
      </c>
      <c r="I61" s="103">
        <v>35.799999999999997</v>
      </c>
      <c r="J61" s="103">
        <v>35.950000000000003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4</v>
      </c>
      <c r="E62" s="104">
        <v>-1.11E-2</v>
      </c>
      <c r="F62" s="105">
        <v>6000</v>
      </c>
      <c r="G62" s="105">
        <v>2</v>
      </c>
      <c r="H62" s="103">
        <v>1</v>
      </c>
      <c r="I62" s="103">
        <v>35.950000000000003</v>
      </c>
      <c r="J62" s="103">
        <v>35.049999999999997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257</v>
      </c>
      <c r="E63" s="103">
        <v>-1</v>
      </c>
      <c r="F63" s="103">
        <v>257</v>
      </c>
      <c r="G63" s="103">
        <v>258</v>
      </c>
      <c r="H63" s="105">
        <v>1102</v>
      </c>
      <c r="I63" s="103">
        <v>258</v>
      </c>
      <c r="J63" s="103">
        <v>259.5</v>
      </c>
      <c r="K63" s="103">
        <v>283.5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1630</v>
      </c>
      <c r="E64" s="104">
        <v>-3.8999999999999998E-3</v>
      </c>
      <c r="F64" s="103">
        <v>353</v>
      </c>
      <c r="G64" s="103">
        <v>7</v>
      </c>
      <c r="H64" s="105">
        <v>512</v>
      </c>
      <c r="I64" s="103">
        <v>258</v>
      </c>
      <c r="J64" s="103">
        <v>257</v>
      </c>
      <c r="K64" s="103">
        <v>232.5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25.15</v>
      </c>
      <c r="E65" s="103">
        <v>-0.05</v>
      </c>
      <c r="F65" s="103">
        <v>25.15</v>
      </c>
      <c r="G65" s="103">
        <v>25.2</v>
      </c>
      <c r="H65" s="105">
        <v>2065</v>
      </c>
      <c r="I65" s="103">
        <v>25.2</v>
      </c>
      <c r="J65" s="103">
        <v>25.6</v>
      </c>
      <c r="K65" s="103">
        <v>27.7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3259</v>
      </c>
      <c r="E66" s="104">
        <v>-2E-3</v>
      </c>
      <c r="F66" s="103">
        <v>60</v>
      </c>
      <c r="G66" s="103">
        <v>56</v>
      </c>
      <c r="H66" s="105">
        <v>1179</v>
      </c>
      <c r="I66" s="103">
        <v>25.2</v>
      </c>
      <c r="J66" s="103">
        <v>25.05</v>
      </c>
      <c r="K66" s="103">
        <v>22.7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508</v>
      </c>
      <c r="E67" s="103" t="s">
        <v>14</v>
      </c>
      <c r="F67" s="103">
        <v>508</v>
      </c>
      <c r="G67" s="103">
        <v>511</v>
      </c>
      <c r="H67" s="103">
        <v>86</v>
      </c>
      <c r="I67" s="103">
        <v>505</v>
      </c>
      <c r="J67" s="103">
        <v>513</v>
      </c>
      <c r="K67" s="103">
        <v>558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164</v>
      </c>
      <c r="E68" s="104" t="s">
        <v>14</v>
      </c>
      <c r="F68" s="103">
        <v>23</v>
      </c>
      <c r="G68" s="103">
        <v>1</v>
      </c>
      <c r="H68" s="103">
        <v>76</v>
      </c>
      <c r="I68" s="103">
        <v>508</v>
      </c>
      <c r="J68" s="103">
        <v>505</v>
      </c>
      <c r="K68" s="103">
        <v>457.5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0.5625</v>
      </c>
      <c r="D69" s="103">
        <v>10.050000000000001</v>
      </c>
      <c r="E69" s="103">
        <v>-0.35</v>
      </c>
      <c r="F69" s="103">
        <v>10.050000000000001</v>
      </c>
      <c r="G69" s="103">
        <v>10.1</v>
      </c>
      <c r="H69" s="105">
        <v>819</v>
      </c>
      <c r="I69" s="103">
        <v>10.55</v>
      </c>
      <c r="J69" s="103">
        <v>10.55</v>
      </c>
      <c r="K69" s="103">
        <v>11.4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1286</v>
      </c>
      <c r="E70" s="104">
        <v>-3.3700000000000001E-2</v>
      </c>
      <c r="F70" s="103">
        <v>3</v>
      </c>
      <c r="G70" s="103">
        <v>14</v>
      </c>
      <c r="H70" s="105">
        <v>466</v>
      </c>
      <c r="I70" s="103">
        <v>10.4</v>
      </c>
      <c r="J70" s="103">
        <v>9.99</v>
      </c>
      <c r="K70" s="103">
        <v>9.36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0.60416666666666663</v>
      </c>
      <c r="D71" s="103">
        <v>212</v>
      </c>
      <c r="E71" s="103">
        <v>1</v>
      </c>
      <c r="F71" s="103">
        <v>212</v>
      </c>
      <c r="G71" s="103">
        <v>212.5</v>
      </c>
      <c r="H71" s="103">
        <v>244</v>
      </c>
      <c r="I71" s="103">
        <v>212.5</v>
      </c>
      <c r="J71" s="103">
        <v>214</v>
      </c>
      <c r="K71" s="103">
        <v>232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620</v>
      </c>
      <c r="E72" s="104">
        <v>4.7000000000000002E-3</v>
      </c>
      <c r="F72" s="103">
        <v>4</v>
      </c>
      <c r="G72" s="103">
        <v>5</v>
      </c>
      <c r="H72" s="103">
        <v>374</v>
      </c>
      <c r="I72" s="103">
        <v>211</v>
      </c>
      <c r="J72" s="103">
        <v>211.5</v>
      </c>
      <c r="K72" s="103">
        <v>190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51.5</v>
      </c>
      <c r="E73" s="103">
        <v>-0.3</v>
      </c>
      <c r="F73" s="103">
        <v>51.5</v>
      </c>
      <c r="G73" s="103">
        <v>51.6</v>
      </c>
      <c r="H73" s="103">
        <v>69</v>
      </c>
      <c r="I73" s="103">
        <v>52</v>
      </c>
      <c r="J73" s="103">
        <v>52.3</v>
      </c>
      <c r="K73" s="103">
        <v>56.9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82</v>
      </c>
      <c r="E74" s="104">
        <v>-5.7999999999999996E-3</v>
      </c>
      <c r="F74" s="103">
        <v>1</v>
      </c>
      <c r="G74" s="103">
        <v>4</v>
      </c>
      <c r="H74" s="103">
        <v>13</v>
      </c>
      <c r="I74" s="103">
        <v>51.8</v>
      </c>
      <c r="J74" s="103">
        <v>50.9</v>
      </c>
      <c r="K74" s="103">
        <v>46.65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96.7</v>
      </c>
      <c r="E75" s="103">
        <v>-0.9</v>
      </c>
      <c r="F75" s="103">
        <v>96.3</v>
      </c>
      <c r="G75" s="103">
        <v>96.8</v>
      </c>
      <c r="H75" s="103">
        <v>115</v>
      </c>
      <c r="I75" s="103">
        <v>97.6</v>
      </c>
      <c r="J75" s="103">
        <v>97.6</v>
      </c>
      <c r="K75" s="103">
        <v>107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237</v>
      </c>
      <c r="E76" s="104">
        <v>-9.1999999999999998E-3</v>
      </c>
      <c r="F76" s="103">
        <v>1</v>
      </c>
      <c r="G76" s="103">
        <v>1</v>
      </c>
      <c r="H76" s="105">
        <v>121</v>
      </c>
      <c r="I76" s="103">
        <v>97.6</v>
      </c>
      <c r="J76" s="103">
        <v>96.1</v>
      </c>
      <c r="K76" s="103">
        <v>87.9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0.60416666666666663</v>
      </c>
      <c r="D77" s="103">
        <v>231.5</v>
      </c>
      <c r="E77" s="103">
        <v>2.5</v>
      </c>
      <c r="F77" s="103">
        <v>231</v>
      </c>
      <c r="G77" s="103">
        <v>231.5</v>
      </c>
      <c r="H77" s="105">
        <v>55</v>
      </c>
      <c r="I77" s="103">
        <v>229</v>
      </c>
      <c r="J77" s="103">
        <v>231.5</v>
      </c>
      <c r="K77" s="103">
        <v>251.5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143</v>
      </c>
      <c r="E78" s="104">
        <v>1.09E-2</v>
      </c>
      <c r="F78" s="103">
        <v>3</v>
      </c>
      <c r="G78" s="103">
        <v>9</v>
      </c>
      <c r="H78" s="105">
        <v>86</v>
      </c>
      <c r="I78" s="103">
        <v>229</v>
      </c>
      <c r="J78" s="103">
        <v>229</v>
      </c>
      <c r="K78" s="103">
        <v>206.5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0.38685185185185184</v>
      </c>
      <c r="D79" s="103">
        <v>63.3</v>
      </c>
      <c r="E79" s="103">
        <v>-1.1000000000000001</v>
      </c>
      <c r="F79" s="103">
        <v>63.4</v>
      </c>
      <c r="G79" s="103">
        <v>64.400000000000006</v>
      </c>
      <c r="H79" s="103">
        <v>3</v>
      </c>
      <c r="I79" s="103">
        <v>64.5</v>
      </c>
      <c r="J79" s="103">
        <v>64.5</v>
      </c>
      <c r="K79" s="103">
        <v>70.8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3</v>
      </c>
      <c r="E80" s="104">
        <v>-1.7100000000000001E-2</v>
      </c>
      <c r="F80" s="103">
        <v>1</v>
      </c>
      <c r="G80" s="103">
        <v>1</v>
      </c>
      <c r="H80" s="103" t="s">
        <v>14</v>
      </c>
      <c r="I80" s="103">
        <v>64.400000000000006</v>
      </c>
      <c r="J80" s="103">
        <v>63.3</v>
      </c>
      <c r="K80" s="103">
        <v>58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199.5</v>
      </c>
      <c r="E81" s="103">
        <v>-1.5</v>
      </c>
      <c r="F81" s="103">
        <v>199</v>
      </c>
      <c r="G81" s="103">
        <v>200</v>
      </c>
      <c r="H81" s="103">
        <v>10</v>
      </c>
      <c r="I81" s="103">
        <v>200</v>
      </c>
      <c r="J81" s="103">
        <v>200</v>
      </c>
      <c r="K81" s="103">
        <v>221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12</v>
      </c>
      <c r="E82" s="104">
        <v>-7.4999999999999997E-3</v>
      </c>
      <c r="F82" s="103">
        <v>1</v>
      </c>
      <c r="G82" s="103">
        <v>1</v>
      </c>
      <c r="H82" s="103">
        <v>1</v>
      </c>
      <c r="I82" s="103">
        <v>201</v>
      </c>
      <c r="J82" s="103">
        <v>198.5</v>
      </c>
      <c r="K82" s="103">
        <v>181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0.60416666666666663</v>
      </c>
      <c r="D83" s="103">
        <v>73.5</v>
      </c>
      <c r="E83" s="103">
        <v>-1.1000000000000001</v>
      </c>
      <c r="F83" s="103">
        <v>73.5</v>
      </c>
      <c r="G83" s="103">
        <v>73.7</v>
      </c>
      <c r="H83" s="105">
        <v>1554</v>
      </c>
      <c r="I83" s="103">
        <v>74.099999999999994</v>
      </c>
      <c r="J83" s="103">
        <v>74.7</v>
      </c>
      <c r="K83" s="103">
        <v>82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4680</v>
      </c>
      <c r="E84" s="104">
        <v>-1.47E-2</v>
      </c>
      <c r="F84" s="103">
        <v>65</v>
      </c>
      <c r="G84" s="103">
        <v>2</v>
      </c>
      <c r="H84" s="105">
        <v>3098</v>
      </c>
      <c r="I84" s="103">
        <v>74.599999999999994</v>
      </c>
      <c r="J84" s="103">
        <v>73.5</v>
      </c>
      <c r="K84" s="103">
        <v>67.2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52.4</v>
      </c>
      <c r="E85" s="103">
        <v>-0.9</v>
      </c>
      <c r="F85" s="103">
        <v>52.3</v>
      </c>
      <c r="G85" s="103">
        <v>52.4</v>
      </c>
      <c r="H85" s="105">
        <v>683</v>
      </c>
      <c r="I85" s="103">
        <v>53.4</v>
      </c>
      <c r="J85" s="103">
        <v>53.4</v>
      </c>
      <c r="K85" s="103">
        <v>58.6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1164</v>
      </c>
      <c r="E86" s="104">
        <v>-1.6899999999999998E-2</v>
      </c>
      <c r="F86" s="103">
        <v>10</v>
      </c>
      <c r="G86" s="103">
        <v>11</v>
      </c>
      <c r="H86" s="105">
        <v>478</v>
      </c>
      <c r="I86" s="103">
        <v>53.3</v>
      </c>
      <c r="J86" s="103">
        <v>52.1</v>
      </c>
      <c r="K86" s="103">
        <v>48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0.60416666666666663</v>
      </c>
      <c r="D87" s="103">
        <v>43.8</v>
      </c>
      <c r="E87" s="103">
        <v>-1</v>
      </c>
      <c r="F87" s="103">
        <v>43.7</v>
      </c>
      <c r="G87" s="103">
        <v>43.8</v>
      </c>
      <c r="H87" s="105">
        <v>498</v>
      </c>
      <c r="I87" s="103">
        <v>45</v>
      </c>
      <c r="J87" s="103">
        <v>45</v>
      </c>
      <c r="K87" s="103">
        <v>49.25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905</v>
      </c>
      <c r="E88" s="104">
        <v>-2.23E-2</v>
      </c>
      <c r="F88" s="105">
        <v>9</v>
      </c>
      <c r="G88" s="103">
        <v>1</v>
      </c>
      <c r="H88" s="105">
        <v>398</v>
      </c>
      <c r="I88" s="103">
        <v>44.8</v>
      </c>
      <c r="J88" s="103">
        <v>43.4</v>
      </c>
      <c r="K88" s="103">
        <v>40.35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364</v>
      </c>
      <c r="E89" s="103">
        <v>-6.5</v>
      </c>
      <c r="F89" s="103">
        <v>363</v>
      </c>
      <c r="G89" s="103">
        <v>365</v>
      </c>
      <c r="H89" s="103">
        <v>121</v>
      </c>
      <c r="I89" s="103">
        <v>367</v>
      </c>
      <c r="J89" s="103">
        <v>368.5</v>
      </c>
      <c r="K89" s="103">
        <v>407.5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248</v>
      </c>
      <c r="E90" s="104">
        <v>-1.7500000000000002E-2</v>
      </c>
      <c r="F90" s="103">
        <v>3</v>
      </c>
      <c r="G90" s="103">
        <v>7</v>
      </c>
      <c r="H90" s="105">
        <v>127</v>
      </c>
      <c r="I90" s="103">
        <v>370.5</v>
      </c>
      <c r="J90" s="103">
        <v>362.5</v>
      </c>
      <c r="K90" s="103">
        <v>333.5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675</v>
      </c>
      <c r="E91" s="103">
        <v>-30</v>
      </c>
      <c r="F91" s="103">
        <v>674</v>
      </c>
      <c r="G91" s="103">
        <v>677</v>
      </c>
      <c r="H91" s="103">
        <v>179</v>
      </c>
      <c r="I91" s="103">
        <v>696</v>
      </c>
      <c r="J91" s="103">
        <v>700</v>
      </c>
      <c r="K91" s="103">
        <v>775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277</v>
      </c>
      <c r="E92" s="104">
        <v>-4.2599999999999999E-2</v>
      </c>
      <c r="F92" s="103">
        <v>3</v>
      </c>
      <c r="G92" s="103">
        <v>1</v>
      </c>
      <c r="H92" s="103">
        <v>97</v>
      </c>
      <c r="I92" s="103">
        <v>705</v>
      </c>
      <c r="J92" s="103">
        <v>658</v>
      </c>
      <c r="K92" s="103">
        <v>635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9.1999999999999998E-2</v>
      </c>
      <c r="G94" s="86">
        <f>F94-M94</f>
        <v>-2.0000000000000018E-3</v>
      </c>
      <c r="H94" s="87">
        <f>F94/M94-1</f>
        <v>-2.1276595744680882E-2</v>
      </c>
      <c r="I94" s="98">
        <v>1137</v>
      </c>
      <c r="J94" s="100">
        <v>9.2999999999999999E-2</v>
      </c>
      <c r="K94" s="100">
        <v>9.5000000000000001E-2</v>
      </c>
      <c r="L94" s="100">
        <v>9.0999999999999998E-2</v>
      </c>
      <c r="M94" s="88">
        <v>9.4E-2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0.32</v>
      </c>
      <c r="G95" s="86">
        <f>F95-M95</f>
        <v>-1.0000000000000009E-2</v>
      </c>
      <c r="H95" s="87">
        <f>F95/M95-1</f>
        <v>-3.0303030303030276E-2</v>
      </c>
      <c r="I95" s="98">
        <v>48</v>
      </c>
      <c r="J95" s="100">
        <v>0.33</v>
      </c>
      <c r="K95" s="100">
        <v>0.33</v>
      </c>
      <c r="L95" s="100">
        <v>0.31</v>
      </c>
      <c r="M95" s="88">
        <v>0.33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0F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A96"/>
  <sheetViews>
    <sheetView showGridLines="0" view="pageBreakPreview" zoomScale="85" zoomScaleNormal="85" zoomScaleSheetLayoutView="85" workbookViewId="0">
      <selection activeCell="L3" sqref="L3"/>
    </sheetView>
  </sheetViews>
  <sheetFormatPr defaultColWidth="9" defaultRowHeight="16.5" outlineLevelRow="1" outlineLevelCol="1" x14ac:dyDescent="0.25"/>
  <cols>
    <col min="1" max="1" width="9.5" style="14" customWidth="1"/>
    <col min="2" max="2" width="14.625" style="14" customWidth="1"/>
    <col min="3" max="3" width="14" style="14" hidden="1" customWidth="1" outlineLevel="1"/>
    <col min="4" max="4" width="21.125" style="14" customWidth="1" collapsed="1"/>
    <col min="5" max="7" width="14.625" style="14" customWidth="1"/>
    <col min="8" max="8" width="13.125" style="14" customWidth="1"/>
    <col min="9" max="9" width="13" style="14" customWidth="1"/>
    <col min="10" max="10" width="16.125" style="14" customWidth="1"/>
    <col min="11" max="11" width="13.625" style="14" customWidth="1"/>
    <col min="12" max="12" width="14.125" style="14" customWidth="1"/>
    <col min="13" max="13" width="6.5" style="14" bestFit="1" customWidth="1"/>
    <col min="14" max="14" width="6.5" style="14" customWidth="1"/>
    <col min="15" max="15" width="13.625" style="14" customWidth="1"/>
    <col min="16" max="25" width="9" style="14"/>
    <col min="26" max="26" width="16.75" style="14" bestFit="1" customWidth="1"/>
    <col min="27" max="16384" width="9" style="14"/>
  </cols>
  <sheetData>
    <row r="1" spans="1:27" x14ac:dyDescent="0.25">
      <c r="D1" s="14" t="s">
        <v>120</v>
      </c>
      <c r="Z1" s="14" t="s">
        <v>59</v>
      </c>
      <c r="AA1" s="14" t="s">
        <v>60</v>
      </c>
    </row>
    <row r="2" spans="1:27" ht="30" customHeight="1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O2" s="15"/>
    </row>
    <row r="3" spans="1:27" x14ac:dyDescent="0.25">
      <c r="B3" s="16"/>
      <c r="C3" s="16"/>
      <c r="D3" s="17"/>
      <c r="E3" s="16"/>
      <c r="F3" s="16"/>
      <c r="H3" s="51"/>
      <c r="I3" s="16"/>
      <c r="K3" s="18" t="s">
        <v>2</v>
      </c>
      <c r="L3" s="19">
        <v>45736.752748726853</v>
      </c>
      <c r="O3" s="101" t="s">
        <v>56</v>
      </c>
      <c r="Y3" s="14" t="s">
        <v>3</v>
      </c>
      <c r="Z3" s="14" t="s">
        <v>4</v>
      </c>
      <c r="AA3" s="14" t="s">
        <v>1</v>
      </c>
    </row>
    <row r="4" spans="1:27" ht="21" customHeight="1" x14ac:dyDescent="0.25">
      <c r="B4" s="20" t="s">
        <v>62</v>
      </c>
      <c r="C4" s="20"/>
      <c r="E4" s="21"/>
      <c r="G4" s="16"/>
      <c r="H4" s="16"/>
      <c r="I4" s="16"/>
      <c r="J4" s="16"/>
      <c r="K4" s="16"/>
      <c r="Y4" s="14" t="s">
        <v>61</v>
      </c>
      <c r="Z4" s="14" t="s">
        <v>0</v>
      </c>
      <c r="AA4" s="14" t="s">
        <v>1</v>
      </c>
    </row>
    <row r="5" spans="1:27" ht="33" x14ac:dyDescent="0.25">
      <c r="B5" s="22"/>
      <c r="C5" s="23"/>
      <c r="D5" s="24" t="s">
        <v>5</v>
      </c>
      <c r="E5" s="25" t="s">
        <v>63</v>
      </c>
      <c r="F5" s="24" t="s">
        <v>58</v>
      </c>
      <c r="G5" s="26"/>
      <c r="H5" s="27" t="s">
        <v>64</v>
      </c>
      <c r="I5" s="25" t="s">
        <v>114</v>
      </c>
      <c r="J5" s="28"/>
      <c r="K5" s="28"/>
      <c r="L5" s="29"/>
      <c r="O5" s="30"/>
    </row>
    <row r="6" spans="1:27" ht="18" customHeight="1" outlineLevel="1" x14ac:dyDescent="0.25">
      <c r="B6" s="31" t="s">
        <v>65</v>
      </c>
      <c r="C6" s="32"/>
      <c r="D6" s="94">
        <v>22377.26</v>
      </c>
      <c r="E6" s="94">
        <v>21960.83</v>
      </c>
      <c r="F6" s="33">
        <f>(D6-E6)/E6</f>
        <v>1.8962398051439615E-2</v>
      </c>
      <c r="G6" s="34"/>
      <c r="H6" s="91">
        <f>ROUND(278247603930/100000000,2)</f>
        <v>2782.48</v>
      </c>
      <c r="I6" s="91">
        <v>3169.93</v>
      </c>
      <c r="J6" s="35">
        <f>+H6-I6</f>
        <v>-387.44999999999982</v>
      </c>
      <c r="K6" s="36" t="s">
        <v>66</v>
      </c>
      <c r="L6" s="29"/>
      <c r="O6" t="s">
        <v>57</v>
      </c>
    </row>
    <row r="7" spans="1:27" ht="18" hidden="1" customHeight="1" x14ac:dyDescent="0.25">
      <c r="B7" s="139"/>
      <c r="C7" s="140"/>
      <c r="D7" s="94"/>
      <c r="E7" s="94"/>
      <c r="F7" s="33"/>
      <c r="G7" s="34"/>
      <c r="H7" s="91"/>
      <c r="I7" s="91"/>
      <c r="J7" s="35"/>
      <c r="K7" s="36"/>
      <c r="L7" s="29"/>
      <c r="O7"/>
    </row>
    <row r="8" spans="1:27" ht="16.5" customHeight="1" outlineLevel="1" x14ac:dyDescent="0.25">
      <c r="B8" s="37" t="s">
        <v>67</v>
      </c>
      <c r="C8" s="38"/>
      <c r="D8" s="94">
        <v>24219.95</v>
      </c>
      <c r="E8" s="90">
        <v>24771.14</v>
      </c>
      <c r="F8" s="33">
        <f>(D8-E8)/E8</f>
        <v>-2.2251297275781359E-2</v>
      </c>
      <c r="G8" s="34"/>
      <c r="H8" s="91">
        <v>2948.55</v>
      </c>
      <c r="I8" s="91">
        <v>2718.59</v>
      </c>
      <c r="J8" s="35">
        <f>+H8-I8</f>
        <v>229.96000000000004</v>
      </c>
      <c r="K8" s="36" t="s">
        <v>68</v>
      </c>
      <c r="L8" s="29"/>
      <c r="M8" s="39"/>
      <c r="N8" s="39"/>
      <c r="O8" t="s">
        <v>125</v>
      </c>
    </row>
    <row r="9" spans="1:27" ht="15.75" customHeight="1" x14ac:dyDescent="0.25">
      <c r="B9" s="40"/>
      <c r="C9" s="40"/>
      <c r="D9" s="41"/>
      <c r="E9" s="41"/>
      <c r="H9" s="106"/>
      <c r="I9" s="42"/>
      <c r="J9" s="43"/>
      <c r="M9" s="39"/>
      <c r="N9" s="39"/>
    </row>
    <row r="10" spans="1:27" ht="17.25" thickBot="1" x14ac:dyDescent="0.3">
      <c r="B10" s="20" t="s">
        <v>69</v>
      </c>
      <c r="C10" s="20"/>
      <c r="D10" s="44"/>
      <c r="E10" s="97"/>
      <c r="F10" s="16"/>
      <c r="G10" s="16"/>
      <c r="H10" s="122"/>
      <c r="I10" s="122"/>
      <c r="J10" s="16" t="s">
        <v>120</v>
      </c>
    </row>
    <row r="11" spans="1:27" ht="38.25" customHeight="1" x14ac:dyDescent="0.25">
      <c r="B11" s="45" t="s">
        <v>70</v>
      </c>
      <c r="C11" s="45"/>
      <c r="D11" s="46" t="str">
        <f>"今日收盤"
&amp;MONTH(L3)&amp;"/"&amp;DAY(L3)</f>
        <v>今日收盤3/20</v>
      </c>
      <c r="E11" s="47" t="str">
        <f>"前一交易日
收盤"</f>
        <v>前一交易日
收盤</v>
      </c>
      <c r="F11" s="48" t="s">
        <v>71</v>
      </c>
      <c r="G11" s="49" t="s">
        <v>72</v>
      </c>
      <c r="H11" s="50" t="s">
        <v>73</v>
      </c>
      <c r="I11" s="45" t="s">
        <v>74</v>
      </c>
      <c r="J11" s="45" t="s">
        <v>6</v>
      </c>
      <c r="K11" s="45" t="s">
        <v>75</v>
      </c>
      <c r="L11" s="45" t="s">
        <v>76</v>
      </c>
      <c r="M11" s="51"/>
      <c r="N11" s="51"/>
      <c r="O11" s="45" t="s">
        <v>77</v>
      </c>
    </row>
    <row r="12" spans="1:27" s="52" customFormat="1" ht="20.100000000000001" customHeight="1" outlineLevel="1" x14ac:dyDescent="0.25">
      <c r="B12" s="57" t="s">
        <v>78</v>
      </c>
      <c r="C12" s="53"/>
      <c r="D12" s="53"/>
      <c r="E12" s="53"/>
      <c r="F12" s="54"/>
      <c r="G12" s="55"/>
      <c r="H12" s="56"/>
      <c r="I12" s="53"/>
      <c r="J12" s="53"/>
      <c r="K12" s="53"/>
      <c r="L12" s="58"/>
      <c r="O12" s="58"/>
    </row>
    <row r="13" spans="1:27" ht="20.100000000000001" customHeight="1" outlineLevel="1" collapsed="1" x14ac:dyDescent="0.25">
      <c r="A13" s="59">
        <v>2926</v>
      </c>
      <c r="B13" s="57" t="s">
        <v>79</v>
      </c>
      <c r="C13" s="57"/>
      <c r="D13" s="60">
        <f>D59</f>
        <v>51.7</v>
      </c>
      <c r="E13" s="60">
        <f>I60</f>
        <v>52.3</v>
      </c>
      <c r="F13" s="61">
        <f>D13-E13</f>
        <v>-0.59999999999999432</v>
      </c>
      <c r="G13" s="62">
        <f>F13/E13</f>
        <v>-1.1472275334607922E-2</v>
      </c>
      <c r="H13" s="63">
        <f>I59</f>
        <v>51.6</v>
      </c>
      <c r="I13" s="60">
        <f>J60</f>
        <v>51.6</v>
      </c>
      <c r="J13" s="60">
        <f>J59</f>
        <v>52.2</v>
      </c>
      <c r="K13" s="64">
        <f>D60</f>
        <v>5</v>
      </c>
      <c r="L13" s="64">
        <f>+O13*D13</f>
        <v>2450.0449050000002</v>
      </c>
      <c r="M13" s="51"/>
      <c r="N13" s="51"/>
      <c r="O13" s="65">
        <v>47.389650000000003</v>
      </c>
      <c r="Q13" s="17"/>
      <c r="R13" s="17"/>
    </row>
    <row r="14" spans="1:27" ht="20.100000000000001" customHeight="1" outlineLevel="1" x14ac:dyDescent="0.25">
      <c r="A14" s="59">
        <v>2912</v>
      </c>
      <c r="B14" s="57" t="s">
        <v>80</v>
      </c>
      <c r="C14" s="66"/>
      <c r="D14" s="60">
        <f>D63</f>
        <v>258.5</v>
      </c>
      <c r="E14" s="60">
        <f>I64</f>
        <v>257</v>
      </c>
      <c r="F14" s="61">
        <f t="shared" ref="F14:F30" si="0">D14-E14</f>
        <v>1.5</v>
      </c>
      <c r="G14" s="62">
        <f>F14/E14</f>
        <v>5.8365758754863814E-3</v>
      </c>
      <c r="H14" s="63">
        <f>I63</f>
        <v>257.5</v>
      </c>
      <c r="I14" s="60">
        <f>J64</f>
        <v>257</v>
      </c>
      <c r="J14" s="60">
        <f>J63</f>
        <v>259</v>
      </c>
      <c r="K14" s="73">
        <f>D64</f>
        <v>1532</v>
      </c>
      <c r="L14" s="64">
        <f>+O14*D14</f>
        <v>268742.28700000001</v>
      </c>
      <c r="M14" s="51"/>
      <c r="N14" s="51"/>
      <c r="O14" s="65">
        <v>1039.6220000000001</v>
      </c>
      <c r="Q14" s="17"/>
      <c r="R14" s="17"/>
    </row>
    <row r="15" spans="1:27" s="75" customFormat="1" ht="20.100000000000001" customHeight="1" outlineLevel="1" x14ac:dyDescent="0.25">
      <c r="A15" s="76">
        <v>5903</v>
      </c>
      <c r="B15" s="57" t="s">
        <v>117</v>
      </c>
      <c r="C15" s="57"/>
      <c r="D15" s="71">
        <f>D49</f>
        <v>199</v>
      </c>
      <c r="E15" s="71">
        <f>$I$50</f>
        <v>198.5</v>
      </c>
      <c r="F15" s="61">
        <f>D15-E15</f>
        <v>0.5</v>
      </c>
      <c r="G15" s="62">
        <f>F15/E15</f>
        <v>2.5188916876574307E-3</v>
      </c>
      <c r="H15" s="72">
        <f>$I$49</f>
        <v>198.5</v>
      </c>
      <c r="I15" s="60">
        <f>J50</f>
        <v>197</v>
      </c>
      <c r="J15" s="71">
        <f>$J$49</f>
        <v>199</v>
      </c>
      <c r="K15" s="73">
        <f>$D$50</f>
        <v>79</v>
      </c>
      <c r="L15" s="64">
        <f>D15*O15</f>
        <v>44420.78</v>
      </c>
      <c r="M15" s="74"/>
      <c r="N15" s="74"/>
      <c r="O15" s="70">
        <v>223.22</v>
      </c>
      <c r="Q15" s="17"/>
      <c r="R15" s="17"/>
    </row>
    <row r="16" spans="1:27" s="75" customFormat="1" ht="20.100000000000001" customHeight="1" outlineLevel="1" x14ac:dyDescent="0.25">
      <c r="A16" s="76">
        <v>2945</v>
      </c>
      <c r="B16" s="57" t="s">
        <v>124</v>
      </c>
      <c r="C16" s="57"/>
      <c r="D16" s="71">
        <f>D47</f>
        <v>39.9</v>
      </c>
      <c r="E16" s="71">
        <f>I48</f>
        <v>39.799999999999997</v>
      </c>
      <c r="F16" s="61">
        <f>D16-E16</f>
        <v>0.10000000000000142</v>
      </c>
      <c r="G16" s="62">
        <f>F16/E16</f>
        <v>2.5125628140703878E-3</v>
      </c>
      <c r="H16" s="72">
        <f>I47</f>
        <v>39.85</v>
      </c>
      <c r="I16" s="60">
        <f>J48</f>
        <v>39.799999999999997</v>
      </c>
      <c r="J16" s="71">
        <f>J47</f>
        <v>40.25</v>
      </c>
      <c r="K16" s="73">
        <f>D48</f>
        <v>13</v>
      </c>
      <c r="L16" s="64">
        <f>D16*O16</f>
        <v>2693.25</v>
      </c>
      <c r="M16" s="74"/>
      <c r="N16" s="74"/>
      <c r="O16" s="70">
        <v>67.5</v>
      </c>
      <c r="Q16" s="17"/>
      <c r="R16" s="17"/>
    </row>
    <row r="17" spans="1:18" ht="20.100000000000001" customHeight="1" outlineLevel="1" x14ac:dyDescent="0.25">
      <c r="A17" s="59">
        <v>2903</v>
      </c>
      <c r="B17" s="57" t="s">
        <v>81</v>
      </c>
      <c r="C17" s="66"/>
      <c r="D17" s="60">
        <f>D65</f>
        <v>25.75</v>
      </c>
      <c r="E17" s="60">
        <f>I66</f>
        <v>25.15</v>
      </c>
      <c r="F17" s="61">
        <f t="shared" si="0"/>
        <v>0.60000000000000142</v>
      </c>
      <c r="G17" s="62">
        <f t="shared" ref="G17:G22" si="1">F17/E17</f>
        <v>2.3856858846918547E-2</v>
      </c>
      <c r="H17" s="63">
        <f>I65</f>
        <v>25.5</v>
      </c>
      <c r="I17" s="60">
        <f>J66</f>
        <v>25.2</v>
      </c>
      <c r="J17" s="60">
        <f>J65</f>
        <v>25.75</v>
      </c>
      <c r="K17" s="64">
        <f>D66</f>
        <v>3342</v>
      </c>
      <c r="L17" s="64">
        <f>+O17*D17</f>
        <v>36486.230750000002</v>
      </c>
      <c r="M17" s="67"/>
      <c r="N17" s="67"/>
      <c r="O17" s="65">
        <v>1416.941</v>
      </c>
      <c r="Q17" s="17"/>
      <c r="R17" s="17"/>
    </row>
    <row r="18" spans="1:18" ht="20.100000000000001" customHeight="1" outlineLevel="1" x14ac:dyDescent="0.25">
      <c r="A18" s="14">
        <v>5904</v>
      </c>
      <c r="B18" s="57" t="s">
        <v>82</v>
      </c>
      <c r="C18" s="57"/>
      <c r="D18" s="60">
        <f>D67</f>
        <v>510</v>
      </c>
      <c r="E18" s="60">
        <f>I68</f>
        <v>508</v>
      </c>
      <c r="F18" s="61">
        <f t="shared" si="0"/>
        <v>2</v>
      </c>
      <c r="G18" s="62">
        <f t="shared" si="1"/>
        <v>3.937007874015748E-3</v>
      </c>
      <c r="H18" s="63">
        <f>I67</f>
        <v>511</v>
      </c>
      <c r="I18" s="60">
        <f>J68</f>
        <v>508</v>
      </c>
      <c r="J18" s="60">
        <f>J67</f>
        <v>515</v>
      </c>
      <c r="K18" s="64">
        <f>D68</f>
        <v>267</v>
      </c>
      <c r="L18" s="64">
        <f>+O18*D18</f>
        <v>53517.36</v>
      </c>
      <c r="O18" s="65">
        <v>104.93600000000001</v>
      </c>
      <c r="Q18" s="17"/>
      <c r="R18" s="17"/>
    </row>
    <row r="19" spans="1:18" ht="20.100000000000001" customHeight="1" outlineLevel="1" x14ac:dyDescent="0.25">
      <c r="A19" s="59">
        <v>5907</v>
      </c>
      <c r="B19" s="57" t="s">
        <v>83</v>
      </c>
      <c r="C19" s="57"/>
      <c r="D19" s="60">
        <f>D69</f>
        <v>10.199999999999999</v>
      </c>
      <c r="E19" s="60">
        <f>I70</f>
        <v>10.050000000000001</v>
      </c>
      <c r="F19" s="61">
        <f t="shared" si="0"/>
        <v>0.14999999999999858</v>
      </c>
      <c r="G19" s="62">
        <f>F19/E19</f>
        <v>1.4925373134328216E-2</v>
      </c>
      <c r="H19" s="63">
        <f>I69</f>
        <v>10.15</v>
      </c>
      <c r="I19" s="60">
        <f>J70</f>
        <v>10.1</v>
      </c>
      <c r="J19" s="60">
        <f>J69</f>
        <v>10.25</v>
      </c>
      <c r="K19" s="64">
        <f>D70</f>
        <v>268</v>
      </c>
      <c r="L19" s="64">
        <f>+O19*D19</f>
        <v>1994.4161999999999</v>
      </c>
      <c r="O19" s="65">
        <v>195.53100000000001</v>
      </c>
      <c r="Q19" s="17"/>
      <c r="R19" s="17"/>
    </row>
    <row r="20" spans="1:18" ht="20.100000000000001" customHeight="1" outlineLevel="1" x14ac:dyDescent="0.25">
      <c r="A20" s="120">
        <v>2942</v>
      </c>
      <c r="B20" s="57" t="s">
        <v>84</v>
      </c>
      <c r="C20" s="57"/>
      <c r="D20" s="71">
        <f>D61</f>
        <v>35.450000000000003</v>
      </c>
      <c r="E20" s="60">
        <f>I62</f>
        <v>35.67</v>
      </c>
      <c r="F20" s="61">
        <f>D20-E20</f>
        <v>-0.21999999999999886</v>
      </c>
      <c r="G20" s="62">
        <f>F20/E20</f>
        <v>-6.167647883375353E-3</v>
      </c>
      <c r="H20" s="63">
        <f>I61</f>
        <v>35.75</v>
      </c>
      <c r="I20" s="60">
        <f>J62</f>
        <v>35.450000000000003</v>
      </c>
      <c r="J20" s="60">
        <f>J61</f>
        <v>35.75</v>
      </c>
      <c r="K20" s="64">
        <f>D62</f>
        <v>0</v>
      </c>
      <c r="L20" s="64">
        <f>O20*D20</f>
        <v>2127</v>
      </c>
      <c r="O20" s="65">
        <v>60</v>
      </c>
      <c r="Q20" s="17"/>
      <c r="R20" s="17"/>
    </row>
    <row r="21" spans="1:18" ht="20.100000000000001" customHeight="1" outlineLevel="1" x14ac:dyDescent="0.25">
      <c r="A21" s="59">
        <v>2707</v>
      </c>
      <c r="B21" s="57" t="s">
        <v>85</v>
      </c>
      <c r="C21" s="66"/>
      <c r="D21" s="60">
        <f>D71</f>
        <v>210</v>
      </c>
      <c r="E21" s="60">
        <f>I72</f>
        <v>212</v>
      </c>
      <c r="F21" s="61">
        <f t="shared" si="0"/>
        <v>-2</v>
      </c>
      <c r="G21" s="62">
        <f t="shared" si="1"/>
        <v>-9.433962264150943E-3</v>
      </c>
      <c r="H21" s="63">
        <f>I71</f>
        <v>213</v>
      </c>
      <c r="I21" s="60">
        <f>J72</f>
        <v>210</v>
      </c>
      <c r="J21" s="60">
        <f>J71</f>
        <v>213</v>
      </c>
      <c r="K21" s="64">
        <f>D72</f>
        <v>178</v>
      </c>
      <c r="L21" s="64">
        <f t="shared" ref="L21:L28" si="2">+O21*D21</f>
        <v>26754.63</v>
      </c>
      <c r="M21" s="67"/>
      <c r="N21" s="67"/>
      <c r="O21" s="65">
        <v>127.40300000000001</v>
      </c>
      <c r="Q21" s="17"/>
      <c r="R21" s="17"/>
    </row>
    <row r="22" spans="1:18" ht="20.100000000000001" customHeight="1" outlineLevel="1" x14ac:dyDescent="0.25">
      <c r="A22" s="59">
        <v>2704</v>
      </c>
      <c r="B22" s="57" t="s">
        <v>86</v>
      </c>
      <c r="C22" s="66"/>
      <c r="D22" s="60">
        <f>D73</f>
        <v>52.1</v>
      </c>
      <c r="E22" s="60">
        <f>I74</f>
        <v>51.5</v>
      </c>
      <c r="F22" s="61">
        <f t="shared" si="0"/>
        <v>0.60000000000000142</v>
      </c>
      <c r="G22" s="62">
        <f t="shared" si="1"/>
        <v>1.1650485436893232E-2</v>
      </c>
      <c r="H22" s="63">
        <f>I73</f>
        <v>51.8</v>
      </c>
      <c r="I22" s="60">
        <f>J74</f>
        <v>51.6</v>
      </c>
      <c r="J22" s="60">
        <f>J73</f>
        <v>52.5</v>
      </c>
      <c r="K22" s="64">
        <f>D74</f>
        <v>78</v>
      </c>
      <c r="L22" s="64">
        <f t="shared" si="2"/>
        <v>19116.654070300003</v>
      </c>
      <c r="M22" s="67"/>
      <c r="N22" s="67"/>
      <c r="O22" s="65">
        <v>366.92234300000001</v>
      </c>
      <c r="Q22" s="17"/>
      <c r="R22" s="17"/>
    </row>
    <row r="23" spans="1:18" ht="20.100000000000001" customHeight="1" outlineLevel="1" x14ac:dyDescent="0.25">
      <c r="A23" s="59">
        <v>2739</v>
      </c>
      <c r="B23" s="57" t="s">
        <v>87</v>
      </c>
      <c r="C23" s="66"/>
      <c r="D23" s="60">
        <f>D55</f>
        <v>49.25</v>
      </c>
      <c r="E23" s="60">
        <f>I56</f>
        <v>48.7</v>
      </c>
      <c r="F23" s="61">
        <f>D23-E23</f>
        <v>0.54999999999999716</v>
      </c>
      <c r="G23" s="62">
        <f>F23/E23</f>
        <v>1.1293634496919858E-2</v>
      </c>
      <c r="H23" s="63">
        <f>I55</f>
        <v>49.35</v>
      </c>
      <c r="I23" s="60">
        <f>J56</f>
        <v>48.9</v>
      </c>
      <c r="J23" s="60">
        <f>J55</f>
        <v>49.75</v>
      </c>
      <c r="K23" s="64">
        <f>D56</f>
        <v>119</v>
      </c>
      <c r="L23" s="64">
        <f t="shared" si="2"/>
        <v>4507.6554999999998</v>
      </c>
      <c r="M23" s="67"/>
      <c r="N23" s="67"/>
      <c r="O23" s="65">
        <v>91.525999999999996</v>
      </c>
      <c r="Q23" s="17"/>
      <c r="R23" s="17"/>
    </row>
    <row r="24" spans="1:18" ht="20.100000000000001" customHeight="1" outlineLevel="1" x14ac:dyDescent="0.25">
      <c r="A24" s="59">
        <v>2748</v>
      </c>
      <c r="B24" s="57" t="s">
        <v>115</v>
      </c>
      <c r="C24" s="66"/>
      <c r="D24" s="60">
        <f>D57</f>
        <v>60</v>
      </c>
      <c r="E24" s="60">
        <f>I58</f>
        <v>59</v>
      </c>
      <c r="F24" s="68">
        <f t="shared" si="0"/>
        <v>1</v>
      </c>
      <c r="G24" s="69">
        <f>F24/E24</f>
        <v>1.6949152542372881E-2</v>
      </c>
      <c r="H24" s="63">
        <f>I57</f>
        <v>61.2</v>
      </c>
      <c r="I24" s="60">
        <f>J58</f>
        <v>59.3</v>
      </c>
      <c r="J24" s="60">
        <f>J57</f>
        <v>61.2</v>
      </c>
      <c r="K24" s="64">
        <f>D58</f>
        <v>123</v>
      </c>
      <c r="L24" s="64">
        <f t="shared" si="2"/>
        <v>6346.74</v>
      </c>
      <c r="M24" s="67"/>
      <c r="N24" s="67"/>
      <c r="O24" s="70">
        <v>105.779</v>
      </c>
      <c r="Q24" s="17"/>
      <c r="R24" s="17"/>
    </row>
    <row r="25" spans="1:18" s="75" customFormat="1" ht="20.100000000000001" customHeight="1" outlineLevel="1" x14ac:dyDescent="0.25">
      <c r="A25" s="59">
        <v>2723</v>
      </c>
      <c r="B25" s="57" t="s">
        <v>88</v>
      </c>
      <c r="C25" s="57"/>
      <c r="D25" s="71">
        <f>D75</f>
        <v>96.3</v>
      </c>
      <c r="E25" s="71">
        <f>I76</f>
        <v>96.7</v>
      </c>
      <c r="F25" s="68">
        <f t="shared" si="0"/>
        <v>-0.40000000000000568</v>
      </c>
      <c r="G25" s="69">
        <f t="shared" ref="G25:G31" si="3">F25/E25</f>
        <v>-4.1365046535677937E-3</v>
      </c>
      <c r="H25" s="72">
        <f>I75</f>
        <v>96.8</v>
      </c>
      <c r="I25" s="60">
        <f>J76</f>
        <v>96.3</v>
      </c>
      <c r="J25" s="71">
        <f>J75</f>
        <v>97.3</v>
      </c>
      <c r="K25" s="73">
        <f>D76</f>
        <v>227</v>
      </c>
      <c r="L25" s="64">
        <f t="shared" si="2"/>
        <v>17334</v>
      </c>
      <c r="M25" s="74"/>
      <c r="N25" s="74"/>
      <c r="O25" s="70">
        <v>180</v>
      </c>
      <c r="Q25" s="17"/>
      <c r="R25" s="17"/>
    </row>
    <row r="26" spans="1:18" s="75" customFormat="1" ht="20.100000000000001" customHeight="1" outlineLevel="1" x14ac:dyDescent="0.25">
      <c r="A26" s="59">
        <v>2727</v>
      </c>
      <c r="B26" s="57" t="s">
        <v>89</v>
      </c>
      <c r="C26" s="57"/>
      <c r="D26" s="71">
        <f>D77</f>
        <v>232</v>
      </c>
      <c r="E26" s="71">
        <f>I78</f>
        <v>231.5</v>
      </c>
      <c r="F26" s="68">
        <f t="shared" si="0"/>
        <v>0.5</v>
      </c>
      <c r="G26" s="69">
        <f t="shared" si="3"/>
        <v>2.1598272138228943E-3</v>
      </c>
      <c r="H26" s="72">
        <f>I77</f>
        <v>232</v>
      </c>
      <c r="I26" s="71">
        <f>J78</f>
        <v>230.5</v>
      </c>
      <c r="J26" s="71">
        <f>J77</f>
        <v>232</v>
      </c>
      <c r="K26" s="73">
        <f>D78</f>
        <v>130</v>
      </c>
      <c r="L26" s="64">
        <f t="shared" si="2"/>
        <v>19592.631999999998</v>
      </c>
      <c r="M26" s="74"/>
      <c r="N26" s="74"/>
      <c r="O26" s="70">
        <v>84.450999999999993</v>
      </c>
      <c r="Q26" s="17"/>
      <c r="R26" s="17"/>
    </row>
    <row r="27" spans="1:18" s="75" customFormat="1" ht="20.100000000000001" customHeight="1" outlineLevel="1" x14ac:dyDescent="0.25">
      <c r="A27" s="59">
        <v>1259</v>
      </c>
      <c r="B27" s="57" t="s">
        <v>90</v>
      </c>
      <c r="C27" s="57"/>
      <c r="D27" s="71">
        <f>D79</f>
        <v>63.5</v>
      </c>
      <c r="E27" s="71">
        <f>I80</f>
        <v>63.3</v>
      </c>
      <c r="F27" s="68">
        <f>D27-E27</f>
        <v>0.20000000000000284</v>
      </c>
      <c r="G27" s="69">
        <f>F27/E27</f>
        <v>3.1595576619273752E-3</v>
      </c>
      <c r="H27" s="72">
        <f>I79</f>
        <v>63.5</v>
      </c>
      <c r="I27" s="71">
        <f>J80</f>
        <v>63.5</v>
      </c>
      <c r="J27" s="71">
        <f>J79</f>
        <v>63.5</v>
      </c>
      <c r="K27" s="73">
        <f>D80</f>
        <v>0</v>
      </c>
      <c r="L27" s="64">
        <f t="shared" si="2"/>
        <v>2056.7332499999998</v>
      </c>
      <c r="M27" s="74"/>
      <c r="N27" s="74"/>
      <c r="O27" s="70">
        <v>32.389499999999998</v>
      </c>
      <c r="Q27" s="17"/>
      <c r="R27" s="17"/>
    </row>
    <row r="28" spans="1:18" s="75" customFormat="1" ht="20.100000000000001" customHeight="1" outlineLevel="1" x14ac:dyDescent="0.25">
      <c r="A28" s="76">
        <v>2729</v>
      </c>
      <c r="B28" s="57" t="s">
        <v>7</v>
      </c>
      <c r="C28" s="57"/>
      <c r="D28" s="71">
        <f>D81</f>
        <v>199</v>
      </c>
      <c r="E28" s="71">
        <f>I82</f>
        <v>199.5</v>
      </c>
      <c r="F28" s="68">
        <f t="shared" si="0"/>
        <v>-0.5</v>
      </c>
      <c r="G28" s="69">
        <f t="shared" si="3"/>
        <v>-2.5062656641604009E-3</v>
      </c>
      <c r="H28" s="72">
        <f>I81</f>
        <v>199</v>
      </c>
      <c r="I28" s="71">
        <f>J82</f>
        <v>199</v>
      </c>
      <c r="J28" s="71">
        <f>J81</f>
        <v>202</v>
      </c>
      <c r="K28" s="73">
        <f>D82</f>
        <v>13</v>
      </c>
      <c r="L28" s="64">
        <f t="shared" si="2"/>
        <v>7860.6989999999996</v>
      </c>
      <c r="M28" s="74"/>
      <c r="N28" s="74"/>
      <c r="O28" s="70">
        <v>39.500999999999998</v>
      </c>
      <c r="Q28" s="17"/>
      <c r="R28" s="17"/>
    </row>
    <row r="29" spans="1:18" s="75" customFormat="1" ht="20.100000000000001" customHeight="1" outlineLevel="1" x14ac:dyDescent="0.25">
      <c r="A29" s="121">
        <v>2758</v>
      </c>
      <c r="B29" s="57" t="s">
        <v>121</v>
      </c>
      <c r="C29" s="57"/>
      <c r="D29" s="71">
        <f>D45</f>
        <v>111</v>
      </c>
      <c r="E29" s="71">
        <f>I46</f>
        <v>109.43</v>
      </c>
      <c r="F29" s="68">
        <f>D29-E29</f>
        <v>1.5699999999999932</v>
      </c>
      <c r="G29" s="69">
        <f>F29/E29</f>
        <v>1.4347071187060158E-2</v>
      </c>
      <c r="H29" s="72">
        <f>I45</f>
        <v>111</v>
      </c>
      <c r="I29" s="71">
        <f>J46</f>
        <v>109</v>
      </c>
      <c r="J29" s="71">
        <f>J45</f>
        <v>111.5</v>
      </c>
      <c r="K29" s="73">
        <f>D46</f>
        <v>22</v>
      </c>
      <c r="L29" s="64">
        <f>+D29*O29</f>
        <v>2273.9594310000002</v>
      </c>
      <c r="M29" s="74"/>
      <c r="N29" s="74"/>
      <c r="O29" s="70">
        <v>20.486121000000001</v>
      </c>
      <c r="Q29" s="17"/>
      <c r="R29" s="17"/>
    </row>
    <row r="30" spans="1:18" s="75" customFormat="1" ht="20.100000000000001" customHeight="1" outlineLevel="1" x14ac:dyDescent="0.25">
      <c r="A30" s="76">
        <v>8044</v>
      </c>
      <c r="B30" s="57" t="s">
        <v>91</v>
      </c>
      <c r="C30" s="57"/>
      <c r="D30" s="71">
        <f>D87</f>
        <v>43.85</v>
      </c>
      <c r="E30" s="71">
        <f>I88</f>
        <v>43.8</v>
      </c>
      <c r="F30" s="68">
        <f t="shared" si="0"/>
        <v>5.0000000000004263E-2</v>
      </c>
      <c r="G30" s="69">
        <f t="shared" si="3"/>
        <v>1.1415525114156226E-3</v>
      </c>
      <c r="H30" s="72">
        <f>I87</f>
        <v>43.8</v>
      </c>
      <c r="I30" s="71">
        <f>J88</f>
        <v>43.55</v>
      </c>
      <c r="J30" s="71">
        <f>J87</f>
        <v>44.1</v>
      </c>
      <c r="K30" s="73">
        <f>D88</f>
        <v>451</v>
      </c>
      <c r="L30" s="64">
        <f>D30*O30</f>
        <v>9017.6209500000004</v>
      </c>
      <c r="M30" s="74"/>
      <c r="N30" s="74"/>
      <c r="O30" s="70">
        <v>205.64699999999999</v>
      </c>
      <c r="Q30" s="17"/>
      <c r="R30" s="17"/>
    </row>
    <row r="31" spans="1:18" s="75" customFormat="1" ht="20.100000000000001" customHeight="1" outlineLevel="1" x14ac:dyDescent="0.25">
      <c r="A31" s="76">
        <v>2362</v>
      </c>
      <c r="B31" s="57" t="s">
        <v>92</v>
      </c>
      <c r="C31" s="57"/>
      <c r="D31" s="71">
        <f>D85</f>
        <v>53</v>
      </c>
      <c r="E31" s="71">
        <f>I86</f>
        <v>52.4</v>
      </c>
      <c r="F31" s="68">
        <f>D31-E31</f>
        <v>0.60000000000000142</v>
      </c>
      <c r="G31" s="69">
        <f t="shared" si="3"/>
        <v>1.1450381679389341E-2</v>
      </c>
      <c r="H31" s="72">
        <f>I85</f>
        <v>53.1</v>
      </c>
      <c r="I31" s="71">
        <f>J86</f>
        <v>52.6</v>
      </c>
      <c r="J31" s="71">
        <f>J85</f>
        <v>53.4</v>
      </c>
      <c r="K31" s="73">
        <f>D86</f>
        <v>661</v>
      </c>
      <c r="L31" s="64">
        <f>+O31*D31</f>
        <v>33509.938999999998</v>
      </c>
      <c r="M31" s="74"/>
      <c r="N31" s="74"/>
      <c r="O31" s="70">
        <v>632.26300000000003</v>
      </c>
      <c r="Q31" s="17"/>
      <c r="R31" s="17"/>
    </row>
    <row r="32" spans="1:18" s="75" customFormat="1" ht="20.100000000000001" customHeight="1" outlineLevel="1" x14ac:dyDescent="0.25">
      <c r="A32" s="76">
        <v>8454</v>
      </c>
      <c r="B32" s="57" t="s">
        <v>113</v>
      </c>
      <c r="C32" s="57"/>
      <c r="D32" s="71">
        <f>D89</f>
        <v>368.5</v>
      </c>
      <c r="E32" s="71">
        <f>I90</f>
        <v>364</v>
      </c>
      <c r="F32" s="68">
        <f>D32-E32</f>
        <v>4.5</v>
      </c>
      <c r="G32" s="69">
        <f>F32/E32</f>
        <v>1.2362637362637362E-2</v>
      </c>
      <c r="H32" s="72">
        <f>I89</f>
        <v>366.5</v>
      </c>
      <c r="I32" s="71">
        <f>J90</f>
        <v>364.5</v>
      </c>
      <c r="J32" s="71">
        <f>J89</f>
        <v>369</v>
      </c>
      <c r="K32" s="73">
        <f>D90</f>
        <v>106</v>
      </c>
      <c r="L32" s="64">
        <f>+O32*D32</f>
        <v>92993.554499999998</v>
      </c>
      <c r="M32" s="74"/>
      <c r="N32" s="74"/>
      <c r="O32" s="70">
        <v>252.357</v>
      </c>
      <c r="Q32" s="17"/>
      <c r="R32" s="17"/>
    </row>
    <row r="33" spans="1:25" s="75" customFormat="1" ht="20.100000000000001" customHeight="1" outlineLevel="1" x14ac:dyDescent="0.25">
      <c r="A33" s="76">
        <v>8477</v>
      </c>
      <c r="B33" s="57" t="s">
        <v>118</v>
      </c>
      <c r="C33" s="57"/>
      <c r="D33" s="71">
        <f>D53</f>
        <v>13.15</v>
      </c>
      <c r="E33" s="71">
        <f>I54</f>
        <v>13.8</v>
      </c>
      <c r="F33" s="68">
        <f>D33-E33</f>
        <v>-0.65000000000000036</v>
      </c>
      <c r="G33" s="69">
        <f>F33/E33</f>
        <v>-4.7101449275362341E-2</v>
      </c>
      <c r="H33" s="72">
        <f>I53</f>
        <v>14.25</v>
      </c>
      <c r="I33" s="71">
        <f>J54</f>
        <v>13.15</v>
      </c>
      <c r="J33" s="71">
        <f>J53</f>
        <v>14.25</v>
      </c>
      <c r="K33" s="73">
        <f>D54</f>
        <v>22</v>
      </c>
      <c r="L33" s="64">
        <f>+O33*D33</f>
        <v>843.84865000000013</v>
      </c>
      <c r="M33" s="74"/>
      <c r="N33" s="74"/>
      <c r="O33" s="70">
        <v>64.171000000000006</v>
      </c>
      <c r="Q33" s="17"/>
      <c r="R33" s="17"/>
    </row>
    <row r="34" spans="1:25" s="75" customFormat="1" ht="20.100000000000001" customHeight="1" outlineLevel="1" x14ac:dyDescent="0.25">
      <c r="A34" s="76">
        <v>6741</v>
      </c>
      <c r="B34" s="57" t="s">
        <v>119</v>
      </c>
      <c r="C34" s="57"/>
      <c r="D34" s="71">
        <f>$D$51</f>
        <v>92.8</v>
      </c>
      <c r="E34" s="71">
        <f>$I$52</f>
        <v>91</v>
      </c>
      <c r="F34" s="68">
        <f>D34-E34</f>
        <v>1.7999999999999972</v>
      </c>
      <c r="G34" s="69">
        <f>F34/E34</f>
        <v>1.9780219780219748E-2</v>
      </c>
      <c r="H34" s="72">
        <f>$I$51</f>
        <v>91.6</v>
      </c>
      <c r="I34" s="71">
        <f>J52</f>
        <v>91</v>
      </c>
      <c r="J34" s="71">
        <f>$J$51</f>
        <v>93.5</v>
      </c>
      <c r="K34" s="73">
        <f>$D$52</f>
        <v>292</v>
      </c>
      <c r="L34" s="64">
        <f>+O34*D34</f>
        <v>11189.6384</v>
      </c>
      <c r="M34" s="74"/>
      <c r="N34" s="74"/>
      <c r="O34" s="70">
        <v>120.578</v>
      </c>
      <c r="Q34" s="17"/>
      <c r="R34" s="17"/>
    </row>
    <row r="35" spans="1:25" s="75" customFormat="1" ht="20.100000000000001" customHeight="1" outlineLevel="1" x14ac:dyDescent="0.25">
      <c r="A35" s="76">
        <v>7722</v>
      </c>
      <c r="B35" s="57" t="s">
        <v>140</v>
      </c>
      <c r="C35" s="57"/>
      <c r="D35" s="71">
        <f>D91</f>
        <v>683</v>
      </c>
      <c r="E35" s="71">
        <f>I92</f>
        <v>675</v>
      </c>
      <c r="F35" s="68">
        <f>D35-E35</f>
        <v>8</v>
      </c>
      <c r="G35" s="69">
        <f>F35/E35</f>
        <v>1.1851851851851851E-2</v>
      </c>
      <c r="H35" s="72">
        <f>I91</f>
        <v>675</v>
      </c>
      <c r="I35" s="71">
        <f>J92</f>
        <v>643</v>
      </c>
      <c r="J35" s="71">
        <f>J91</f>
        <v>687</v>
      </c>
      <c r="K35" s="73">
        <f>D92</f>
        <v>359</v>
      </c>
      <c r="L35" s="64">
        <f>+O35*D35</f>
        <v>46444</v>
      </c>
      <c r="M35" s="74"/>
      <c r="N35" s="74"/>
      <c r="O35" s="70">
        <v>68</v>
      </c>
      <c r="Q35" s="17"/>
      <c r="R35" s="17"/>
    </row>
    <row r="36" spans="1:25" s="75" customFormat="1" ht="20.100000000000001" hidden="1" customHeight="1" x14ac:dyDescent="0.25">
      <c r="A36" s="121"/>
      <c r="B36" s="57"/>
      <c r="C36" s="57"/>
      <c r="D36" s="71"/>
      <c r="E36" s="71"/>
      <c r="F36" s="68"/>
      <c r="G36" s="123"/>
      <c r="H36" s="72"/>
      <c r="I36" s="71"/>
      <c r="J36" s="71"/>
      <c r="K36" s="73"/>
      <c r="L36" s="64"/>
      <c r="M36" s="74"/>
      <c r="N36" s="74"/>
      <c r="O36" s="70"/>
      <c r="Q36" s="17"/>
      <c r="R36" s="17"/>
    </row>
    <row r="37" spans="1:25" s="75" customFormat="1" ht="20.100000000000001" customHeight="1" outlineLevel="1" x14ac:dyDescent="0.25">
      <c r="A37" s="121"/>
      <c r="B37" s="57" t="s">
        <v>93</v>
      </c>
      <c r="C37" s="57"/>
      <c r="D37" s="71"/>
      <c r="E37" s="71"/>
      <c r="F37" s="68"/>
      <c r="G37" s="69"/>
      <c r="H37" s="72"/>
      <c r="I37" s="71"/>
      <c r="J37" s="71"/>
      <c r="K37" s="73"/>
      <c r="L37" s="64"/>
      <c r="M37" s="74"/>
      <c r="N37" s="74"/>
      <c r="O37" s="70"/>
      <c r="Q37" s="17"/>
      <c r="R37" s="17"/>
    </row>
    <row r="38" spans="1:25" ht="20.100000000000001" customHeight="1" outlineLevel="1" x14ac:dyDescent="0.25">
      <c r="A38" s="59" t="s">
        <v>148</v>
      </c>
      <c r="B38" s="66" t="s">
        <v>94</v>
      </c>
      <c r="C38" s="66"/>
      <c r="D38" s="60">
        <f>F94</f>
        <v>9.2999999999999999E-2</v>
      </c>
      <c r="E38" s="60">
        <f>M94</f>
        <v>9.1999999999999998E-2</v>
      </c>
      <c r="F38" s="61">
        <f>D38-E38</f>
        <v>1.0000000000000009E-3</v>
      </c>
      <c r="G38" s="62">
        <f>F38/E38</f>
        <v>1.0869565217391314E-2</v>
      </c>
      <c r="H38" s="63">
        <f>J94</f>
        <v>9.0999999999999998E-2</v>
      </c>
      <c r="I38" s="60">
        <f>L94</f>
        <v>9.0999999999999998E-2</v>
      </c>
      <c r="J38" s="60">
        <f>K94</f>
        <v>9.5000000000000001E-2</v>
      </c>
      <c r="K38" s="64">
        <f>I94</f>
        <v>1211</v>
      </c>
      <c r="L38" s="64">
        <f>+O38*D38</f>
        <v>245.01147600000002</v>
      </c>
      <c r="M38" s="67"/>
      <c r="N38" s="67"/>
      <c r="O38" s="70">
        <v>2634.5320000000002</v>
      </c>
      <c r="Q38" s="17"/>
      <c r="R38" s="17"/>
    </row>
    <row r="39" spans="1:25" ht="20.100000000000001" customHeight="1" outlineLevel="1" thickBot="1" x14ac:dyDescent="0.3">
      <c r="A39" s="59" t="s">
        <v>8</v>
      </c>
      <c r="B39" s="66" t="s">
        <v>95</v>
      </c>
      <c r="C39" s="66"/>
      <c r="D39" s="60">
        <f>F95</f>
        <v>0.32500000000000001</v>
      </c>
      <c r="E39" s="60">
        <f>M95</f>
        <v>0.32</v>
      </c>
      <c r="F39" s="61">
        <f>D39-E39</f>
        <v>5.0000000000000044E-3</v>
      </c>
      <c r="G39" s="77">
        <f>F39/E39</f>
        <v>1.5625000000000014E-2</v>
      </c>
      <c r="H39" s="63">
        <f>J95</f>
        <v>0.30499999999999999</v>
      </c>
      <c r="I39" s="60">
        <f>L95</f>
        <v>0.30499999999999999</v>
      </c>
      <c r="J39" s="60">
        <f>K95</f>
        <v>0.32500000000000001</v>
      </c>
      <c r="K39" s="64">
        <f>I95</f>
        <v>159</v>
      </c>
      <c r="L39" s="64">
        <f>+O39*D39</f>
        <v>547.99712499999998</v>
      </c>
      <c r="M39" s="67"/>
      <c r="N39" s="67"/>
      <c r="O39" s="70">
        <v>1686.145</v>
      </c>
      <c r="Q39" s="17"/>
      <c r="R39" s="17"/>
    </row>
    <row r="41" spans="1:25" x14ac:dyDescent="0.2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1:25" ht="18" customHeight="1" x14ac:dyDescent="0.25">
      <c r="A42" s="124"/>
      <c r="B42" s="125" t="s">
        <v>9</v>
      </c>
      <c r="C42" s="126" t="s">
        <v>96</v>
      </c>
      <c r="D42" s="127" t="s">
        <v>97</v>
      </c>
      <c r="E42" s="126" t="s">
        <v>71</v>
      </c>
      <c r="F42" s="126" t="s">
        <v>98</v>
      </c>
      <c r="G42" s="126" t="s">
        <v>99</v>
      </c>
      <c r="H42" s="126" t="s">
        <v>100</v>
      </c>
      <c r="I42" s="128" t="s">
        <v>73</v>
      </c>
      <c r="J42" s="128" t="s">
        <v>101</v>
      </c>
      <c r="K42" s="126" t="s">
        <v>102</v>
      </c>
      <c r="L42" s="126" t="s">
        <v>103</v>
      </c>
      <c r="M42" s="126"/>
      <c r="N42" s="129"/>
      <c r="O42" s="92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25">
      <c r="A43" s="124"/>
      <c r="B43" s="130"/>
      <c r="C43" s="131"/>
      <c r="D43" s="127" t="s">
        <v>104</v>
      </c>
      <c r="E43" s="126" t="s">
        <v>105</v>
      </c>
      <c r="F43" s="126" t="s">
        <v>106</v>
      </c>
      <c r="G43" s="126" t="s">
        <v>107</v>
      </c>
      <c r="H43" s="126" t="s">
        <v>108</v>
      </c>
      <c r="I43" s="128" t="s">
        <v>109</v>
      </c>
      <c r="J43" s="128" t="s">
        <v>74</v>
      </c>
      <c r="K43" s="126" t="s">
        <v>110</v>
      </c>
      <c r="L43" s="126" t="s">
        <v>111</v>
      </c>
      <c r="M43" s="126"/>
      <c r="N43" s="129"/>
      <c r="O43" s="92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25">
      <c r="A44" s="132" t="s">
        <v>10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92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spans="1:25" x14ac:dyDescent="0.25">
      <c r="A45" s="133"/>
      <c r="B45" s="102" t="s">
        <v>123</v>
      </c>
      <c r="C45" s="134">
        <v>0.62146990740740737</v>
      </c>
      <c r="D45" s="103">
        <v>111</v>
      </c>
      <c r="E45" s="103">
        <v>1.57</v>
      </c>
      <c r="F45" s="103">
        <v>110</v>
      </c>
      <c r="G45" s="103">
        <v>113</v>
      </c>
      <c r="H45" s="103">
        <v>6</v>
      </c>
      <c r="I45" s="103">
        <v>111</v>
      </c>
      <c r="J45" s="103">
        <v>111.5</v>
      </c>
      <c r="K45" s="103" t="s">
        <v>14</v>
      </c>
      <c r="L45" s="103">
        <v>188</v>
      </c>
      <c r="M45" s="136" t="s">
        <v>141</v>
      </c>
      <c r="N45" s="135"/>
      <c r="O45" s="92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25" x14ac:dyDescent="0.25">
      <c r="A46" s="133"/>
      <c r="B46" s="102">
        <v>-2758</v>
      </c>
      <c r="C46" s="134"/>
      <c r="D46" s="103">
        <v>22</v>
      </c>
      <c r="E46" s="104">
        <v>1.43E-2</v>
      </c>
      <c r="F46" s="105">
        <v>2</v>
      </c>
      <c r="G46" s="105">
        <v>2</v>
      </c>
      <c r="H46" s="103">
        <v>11</v>
      </c>
      <c r="I46" s="103">
        <v>109.43</v>
      </c>
      <c r="J46" s="103">
        <v>109</v>
      </c>
      <c r="K46" s="103" t="s">
        <v>14</v>
      </c>
      <c r="L46" s="103">
        <v>1000</v>
      </c>
      <c r="M46" s="136" t="s">
        <v>142</v>
      </c>
      <c r="N46" s="135"/>
      <c r="O46" s="92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spans="1:25" x14ac:dyDescent="0.25">
      <c r="A47" s="133"/>
      <c r="B47" s="102" t="s">
        <v>124</v>
      </c>
      <c r="C47" s="134">
        <v>0.5625</v>
      </c>
      <c r="D47" s="103">
        <v>39.9</v>
      </c>
      <c r="E47" s="103">
        <v>0.1</v>
      </c>
      <c r="F47" s="103">
        <v>39.85</v>
      </c>
      <c r="G47" s="103">
        <v>40.5</v>
      </c>
      <c r="H47" s="103">
        <v>8</v>
      </c>
      <c r="I47" s="103">
        <v>39.85</v>
      </c>
      <c r="J47" s="103">
        <v>40.25</v>
      </c>
      <c r="K47" s="103">
        <v>43.75</v>
      </c>
      <c r="L47" s="103">
        <v>84</v>
      </c>
      <c r="M47" s="136" t="s">
        <v>141</v>
      </c>
      <c r="N47" s="135"/>
      <c r="O47" s="92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spans="1:25" x14ac:dyDescent="0.25">
      <c r="A48" s="133"/>
      <c r="B48" s="102">
        <v>-2945</v>
      </c>
      <c r="C48" s="134"/>
      <c r="D48" s="103">
        <v>13</v>
      </c>
      <c r="E48" s="104">
        <v>2.5000000000000001E-3</v>
      </c>
      <c r="F48" s="103">
        <v>2</v>
      </c>
      <c r="G48" s="103">
        <v>1</v>
      </c>
      <c r="H48" s="103">
        <v>5</v>
      </c>
      <c r="I48" s="103">
        <v>39.799999999999997</v>
      </c>
      <c r="J48" s="103">
        <v>39.799999999999997</v>
      </c>
      <c r="K48" s="103">
        <v>35.85</v>
      </c>
      <c r="L48" s="103">
        <v>1000</v>
      </c>
      <c r="M48" s="136" t="s">
        <v>142</v>
      </c>
      <c r="N48" s="135"/>
      <c r="O48" s="92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spans="1:25" x14ac:dyDescent="0.25">
      <c r="A49" s="133"/>
      <c r="B49" s="102" t="s">
        <v>122</v>
      </c>
      <c r="C49" s="134">
        <v>0.5625</v>
      </c>
      <c r="D49" s="103">
        <v>199</v>
      </c>
      <c r="E49" s="103">
        <v>0.5</v>
      </c>
      <c r="F49" s="103">
        <v>198.5</v>
      </c>
      <c r="G49" s="103">
        <v>199</v>
      </c>
      <c r="H49" s="103">
        <v>39</v>
      </c>
      <c r="I49" s="103">
        <v>198.5</v>
      </c>
      <c r="J49" s="103">
        <v>199</v>
      </c>
      <c r="K49" s="103">
        <v>218</v>
      </c>
      <c r="L49" s="103">
        <v>0</v>
      </c>
      <c r="M49" s="136" t="s">
        <v>141</v>
      </c>
      <c r="N49" s="135"/>
      <c r="O49" s="92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spans="1:25" x14ac:dyDescent="0.25">
      <c r="A50" s="133"/>
      <c r="B50" s="102">
        <v>-5903</v>
      </c>
      <c r="C50" s="134"/>
      <c r="D50" s="103">
        <v>79</v>
      </c>
      <c r="E50" s="104">
        <v>2.5000000000000001E-3</v>
      </c>
      <c r="F50" s="103">
        <v>10</v>
      </c>
      <c r="G50" s="103">
        <v>2</v>
      </c>
      <c r="H50" s="103">
        <v>32</v>
      </c>
      <c r="I50" s="103">
        <v>198.5</v>
      </c>
      <c r="J50" s="103">
        <v>197</v>
      </c>
      <c r="K50" s="103">
        <v>179</v>
      </c>
      <c r="L50" s="103">
        <v>1000</v>
      </c>
      <c r="M50" s="136" t="s">
        <v>142</v>
      </c>
      <c r="N50" s="135"/>
      <c r="O50" s="92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spans="1:25" x14ac:dyDescent="0.25">
      <c r="A51" s="133"/>
      <c r="B51" s="102" t="s">
        <v>116</v>
      </c>
      <c r="C51" s="134">
        <v>0.5625</v>
      </c>
      <c r="D51" s="103">
        <v>92.8</v>
      </c>
      <c r="E51" s="103">
        <v>1.8</v>
      </c>
      <c r="F51" s="103">
        <v>92.8</v>
      </c>
      <c r="G51" s="103">
        <v>92.9</v>
      </c>
      <c r="H51" s="105">
        <v>103</v>
      </c>
      <c r="I51" s="103">
        <v>91.6</v>
      </c>
      <c r="J51" s="103">
        <v>93.5</v>
      </c>
      <c r="K51" s="103">
        <v>100</v>
      </c>
      <c r="L51" s="103">
        <v>396</v>
      </c>
      <c r="M51" s="136" t="s">
        <v>141</v>
      </c>
      <c r="N51" s="135"/>
      <c r="O51" s="92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x14ac:dyDescent="0.25">
      <c r="A52" s="133"/>
      <c r="B52" s="102">
        <v>-6741</v>
      </c>
      <c r="C52" s="134"/>
      <c r="D52" s="105">
        <v>292</v>
      </c>
      <c r="E52" s="104">
        <v>1.9800000000000002E-2</v>
      </c>
      <c r="F52" s="103">
        <v>72</v>
      </c>
      <c r="G52" s="103">
        <v>2</v>
      </c>
      <c r="H52" s="105">
        <v>189</v>
      </c>
      <c r="I52" s="103">
        <v>91</v>
      </c>
      <c r="J52" s="103">
        <v>91</v>
      </c>
      <c r="K52" s="103">
        <v>81.900000000000006</v>
      </c>
      <c r="L52" s="103">
        <v>1000</v>
      </c>
      <c r="M52" s="136" t="s">
        <v>142</v>
      </c>
      <c r="N52" s="135"/>
      <c r="O52" s="92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25">
      <c r="A53" s="133"/>
      <c r="B53" s="102" t="s">
        <v>112</v>
      </c>
      <c r="C53" s="134">
        <v>0.5625</v>
      </c>
      <c r="D53" s="103">
        <v>13.15</v>
      </c>
      <c r="E53" s="103">
        <v>-0.65</v>
      </c>
      <c r="F53" s="103">
        <v>13.15</v>
      </c>
      <c r="G53" s="103">
        <v>14.15</v>
      </c>
      <c r="H53" s="103">
        <v>19</v>
      </c>
      <c r="I53" s="103">
        <v>14.25</v>
      </c>
      <c r="J53" s="103">
        <v>14.25</v>
      </c>
      <c r="K53" s="103">
        <v>15.15</v>
      </c>
      <c r="L53" s="103">
        <v>46.85</v>
      </c>
      <c r="M53" s="136" t="s">
        <v>141</v>
      </c>
      <c r="N53" s="135"/>
      <c r="O53" s="92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spans="1:25" x14ac:dyDescent="0.25">
      <c r="A54" s="133"/>
      <c r="B54" s="102">
        <v>-8477</v>
      </c>
      <c r="C54" s="134"/>
      <c r="D54" s="103">
        <v>22</v>
      </c>
      <c r="E54" s="104">
        <v>-4.7100000000000003E-2</v>
      </c>
      <c r="F54" s="103">
        <v>2</v>
      </c>
      <c r="G54" s="103">
        <v>1</v>
      </c>
      <c r="H54" s="103">
        <v>3</v>
      </c>
      <c r="I54" s="103">
        <v>13.8</v>
      </c>
      <c r="J54" s="103">
        <v>13.15</v>
      </c>
      <c r="K54" s="103">
        <v>12.45</v>
      </c>
      <c r="L54" s="103">
        <v>1000</v>
      </c>
      <c r="M54" s="136" t="s">
        <v>142</v>
      </c>
      <c r="N54" s="135"/>
      <c r="O54" s="92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spans="1:25" x14ac:dyDescent="0.25">
      <c r="A55" s="133"/>
      <c r="B55" s="102" t="s">
        <v>11</v>
      </c>
      <c r="C55" s="134">
        <v>0.5625</v>
      </c>
      <c r="D55" s="103">
        <v>49.25</v>
      </c>
      <c r="E55" s="103">
        <v>0.55000000000000004</v>
      </c>
      <c r="F55" s="103">
        <v>49.05</v>
      </c>
      <c r="G55" s="103">
        <v>49.3</v>
      </c>
      <c r="H55" s="105">
        <v>52</v>
      </c>
      <c r="I55" s="103">
        <v>49.35</v>
      </c>
      <c r="J55" s="103">
        <v>49.75</v>
      </c>
      <c r="K55" s="103">
        <v>53.5</v>
      </c>
      <c r="L55" s="103">
        <v>49.25</v>
      </c>
      <c r="M55" s="136" t="s">
        <v>141</v>
      </c>
      <c r="N55" s="135"/>
      <c r="O55" s="92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spans="1:25" x14ac:dyDescent="0.25">
      <c r="A56" s="133"/>
      <c r="B56" s="102">
        <v>-2739</v>
      </c>
      <c r="C56" s="134"/>
      <c r="D56" s="105">
        <v>119</v>
      </c>
      <c r="E56" s="104">
        <v>1.1299999999999999E-2</v>
      </c>
      <c r="F56" s="103">
        <v>1</v>
      </c>
      <c r="G56" s="103">
        <v>2</v>
      </c>
      <c r="H56" s="105">
        <v>67</v>
      </c>
      <c r="I56" s="103">
        <v>48.7</v>
      </c>
      <c r="J56" s="103">
        <v>48.9</v>
      </c>
      <c r="K56" s="103">
        <v>43.85</v>
      </c>
      <c r="L56" s="103">
        <v>1000</v>
      </c>
      <c r="M56" s="136" t="s">
        <v>142</v>
      </c>
      <c r="N56" s="135"/>
      <c r="O56" s="92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spans="1:25" x14ac:dyDescent="0.25">
      <c r="A57" s="133"/>
      <c r="B57" s="102" t="s">
        <v>12</v>
      </c>
      <c r="C57" s="134">
        <v>0.5625</v>
      </c>
      <c r="D57" s="103">
        <v>60</v>
      </c>
      <c r="E57" s="103">
        <v>1</v>
      </c>
      <c r="F57" s="103">
        <v>59.8</v>
      </c>
      <c r="G57" s="103">
        <v>60</v>
      </c>
      <c r="H57" s="105">
        <v>65</v>
      </c>
      <c r="I57" s="103">
        <v>61.2</v>
      </c>
      <c r="J57" s="103">
        <v>61.2</v>
      </c>
      <c r="K57" s="103">
        <v>64.900000000000006</v>
      </c>
      <c r="L57" s="103">
        <v>53.9</v>
      </c>
      <c r="M57" s="136" t="s">
        <v>141</v>
      </c>
      <c r="N57" s="135"/>
      <c r="O57" s="92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spans="1:25" x14ac:dyDescent="0.25">
      <c r="A58" s="133"/>
      <c r="B58" s="102">
        <v>-2748</v>
      </c>
      <c r="C58" s="134"/>
      <c r="D58" s="105">
        <v>123</v>
      </c>
      <c r="E58" s="104">
        <v>1.6899999999999998E-2</v>
      </c>
      <c r="F58" s="103">
        <v>1</v>
      </c>
      <c r="G58" s="103">
        <v>4</v>
      </c>
      <c r="H58" s="105">
        <v>38</v>
      </c>
      <c r="I58" s="103">
        <v>59</v>
      </c>
      <c r="J58" s="103">
        <v>59.3</v>
      </c>
      <c r="K58" s="103">
        <v>53.1</v>
      </c>
      <c r="L58" s="103">
        <v>1000</v>
      </c>
      <c r="M58" s="136" t="s">
        <v>142</v>
      </c>
      <c r="N58" s="135"/>
      <c r="O58" s="92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spans="1:25" x14ac:dyDescent="0.25">
      <c r="A59" s="133"/>
      <c r="B59" s="102" t="s">
        <v>13</v>
      </c>
      <c r="C59" s="134">
        <v>0.5625</v>
      </c>
      <c r="D59" s="103">
        <v>51.7</v>
      </c>
      <c r="E59" s="103">
        <v>-0.6</v>
      </c>
      <c r="F59" s="103">
        <v>51.6</v>
      </c>
      <c r="G59" s="103">
        <v>51.8</v>
      </c>
      <c r="H59" s="103">
        <v>1</v>
      </c>
      <c r="I59" s="103">
        <v>51.6</v>
      </c>
      <c r="J59" s="103">
        <v>52.2</v>
      </c>
      <c r="K59" s="103">
        <v>57.5</v>
      </c>
      <c r="L59" s="103">
        <v>188.5</v>
      </c>
      <c r="M59" s="136" t="s">
        <v>141</v>
      </c>
      <c r="N59" s="135"/>
      <c r="O59" s="92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spans="1:25" x14ac:dyDescent="0.25">
      <c r="A60" s="133"/>
      <c r="B60" s="102">
        <v>-2926</v>
      </c>
      <c r="C60" s="134"/>
      <c r="D60" s="103">
        <v>5</v>
      </c>
      <c r="E60" s="104">
        <v>-1.15E-2</v>
      </c>
      <c r="F60" s="103">
        <v>1</v>
      </c>
      <c r="G60" s="103">
        <v>1</v>
      </c>
      <c r="H60" s="103">
        <v>3</v>
      </c>
      <c r="I60" s="103">
        <v>52.3</v>
      </c>
      <c r="J60" s="103">
        <v>51.6</v>
      </c>
      <c r="K60" s="103">
        <v>47.1</v>
      </c>
      <c r="L60" s="103">
        <v>1000</v>
      </c>
      <c r="M60" s="136" t="s">
        <v>142</v>
      </c>
      <c r="N60" s="135"/>
      <c r="O60" s="92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spans="1:25" s="75" customFormat="1" x14ac:dyDescent="0.25">
      <c r="A61" s="133"/>
      <c r="B61" s="102" t="s">
        <v>15</v>
      </c>
      <c r="C61" s="134">
        <v>0.60824074074074075</v>
      </c>
      <c r="D61" s="103">
        <v>35.450000000000003</v>
      </c>
      <c r="E61" s="103">
        <v>-0.22</v>
      </c>
      <c r="F61" s="103">
        <v>35.1</v>
      </c>
      <c r="G61" s="103">
        <v>35.450000000000003</v>
      </c>
      <c r="H61" s="103" t="s">
        <v>14</v>
      </c>
      <c r="I61" s="103">
        <v>35.75</v>
      </c>
      <c r="J61" s="103">
        <v>35.75</v>
      </c>
      <c r="K61" s="103" t="s">
        <v>14</v>
      </c>
      <c r="L61" s="103">
        <v>49</v>
      </c>
      <c r="M61" s="136" t="s">
        <v>141</v>
      </c>
      <c r="N61" s="135"/>
      <c r="O61" s="92"/>
    </row>
    <row r="62" spans="1:25" s="75" customFormat="1" x14ac:dyDescent="0.25">
      <c r="A62" s="133"/>
      <c r="B62" s="102">
        <v>-2942</v>
      </c>
      <c r="C62" s="134"/>
      <c r="D62" s="103">
        <v>0</v>
      </c>
      <c r="E62" s="104">
        <v>-6.1999999999999998E-3</v>
      </c>
      <c r="F62" s="105">
        <v>3000</v>
      </c>
      <c r="G62" s="105">
        <v>2</v>
      </c>
      <c r="H62" s="103" t="s">
        <v>14</v>
      </c>
      <c r="I62" s="103">
        <v>35.67</v>
      </c>
      <c r="J62" s="103">
        <v>35.450000000000003</v>
      </c>
      <c r="K62" s="103" t="s">
        <v>14</v>
      </c>
      <c r="L62" s="103">
        <v>1000</v>
      </c>
      <c r="M62" s="136" t="s">
        <v>142</v>
      </c>
      <c r="N62" s="135"/>
      <c r="O62" s="92"/>
    </row>
    <row r="63" spans="1:25" x14ac:dyDescent="0.25">
      <c r="A63" s="133"/>
      <c r="B63" s="102" t="s">
        <v>16</v>
      </c>
      <c r="C63" s="134">
        <v>0.5625</v>
      </c>
      <c r="D63" s="103">
        <v>258.5</v>
      </c>
      <c r="E63" s="103">
        <v>1.5</v>
      </c>
      <c r="F63" s="103">
        <v>258.5</v>
      </c>
      <c r="G63" s="103">
        <v>259</v>
      </c>
      <c r="H63" s="105">
        <v>1104</v>
      </c>
      <c r="I63" s="103">
        <v>257.5</v>
      </c>
      <c r="J63" s="103">
        <v>259</v>
      </c>
      <c r="K63" s="103">
        <v>282.5</v>
      </c>
      <c r="L63" s="103">
        <v>210</v>
      </c>
      <c r="M63" s="136" t="s">
        <v>141</v>
      </c>
      <c r="N63" s="135"/>
      <c r="O63" s="92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pans="1:25" x14ac:dyDescent="0.25">
      <c r="A64" s="133"/>
      <c r="B64" s="102">
        <v>-2912</v>
      </c>
      <c r="C64" s="134"/>
      <c r="D64" s="105">
        <v>1532</v>
      </c>
      <c r="E64" s="104">
        <v>5.7999999999999996E-3</v>
      </c>
      <c r="F64" s="103">
        <v>227</v>
      </c>
      <c r="G64" s="103">
        <v>27</v>
      </c>
      <c r="H64" s="105">
        <v>405</v>
      </c>
      <c r="I64" s="103">
        <v>257</v>
      </c>
      <c r="J64" s="103">
        <v>257</v>
      </c>
      <c r="K64" s="103">
        <v>231.5</v>
      </c>
      <c r="L64" s="103">
        <v>1000</v>
      </c>
      <c r="M64" s="136" t="s">
        <v>142</v>
      </c>
      <c r="N64" s="135"/>
      <c r="O64" s="92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pans="1:25" x14ac:dyDescent="0.25">
      <c r="A65" s="133"/>
      <c r="B65" s="102" t="s">
        <v>17</v>
      </c>
      <c r="C65" s="134">
        <v>0.60416666666666663</v>
      </c>
      <c r="D65" s="103">
        <v>25.75</v>
      </c>
      <c r="E65" s="103">
        <v>0.6</v>
      </c>
      <c r="F65" s="103">
        <v>25.7</v>
      </c>
      <c r="G65" s="103">
        <v>25.75</v>
      </c>
      <c r="H65" s="105">
        <v>1480</v>
      </c>
      <c r="I65" s="103">
        <v>25.5</v>
      </c>
      <c r="J65" s="103">
        <v>25.75</v>
      </c>
      <c r="K65" s="103">
        <v>27.65</v>
      </c>
      <c r="L65" s="103">
        <v>15.7</v>
      </c>
      <c r="M65" s="136" t="s">
        <v>141</v>
      </c>
      <c r="N65" s="135"/>
      <c r="O65" s="92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pans="1:25" s="75" customFormat="1" x14ac:dyDescent="0.25">
      <c r="A66" s="133"/>
      <c r="B66" s="102">
        <v>-2903</v>
      </c>
      <c r="C66" s="134"/>
      <c r="D66" s="105">
        <v>3342</v>
      </c>
      <c r="E66" s="104">
        <v>2.3900000000000001E-2</v>
      </c>
      <c r="F66" s="103">
        <v>5</v>
      </c>
      <c r="G66" s="103">
        <v>154</v>
      </c>
      <c r="H66" s="105">
        <v>1793</v>
      </c>
      <c r="I66" s="103">
        <v>25.15</v>
      </c>
      <c r="J66" s="103">
        <v>25.2</v>
      </c>
      <c r="K66" s="103">
        <v>22.65</v>
      </c>
      <c r="L66" s="103">
        <v>1000</v>
      </c>
      <c r="M66" s="136" t="s">
        <v>142</v>
      </c>
      <c r="N66" s="135"/>
      <c r="O66" s="92"/>
    </row>
    <row r="67" spans="1:25" s="75" customFormat="1" x14ac:dyDescent="0.25">
      <c r="A67" s="133"/>
      <c r="B67" s="102" t="s">
        <v>18</v>
      </c>
      <c r="C67" s="134">
        <v>0.5625</v>
      </c>
      <c r="D67" s="103">
        <v>510</v>
      </c>
      <c r="E67" s="103">
        <v>2</v>
      </c>
      <c r="F67" s="103">
        <v>510</v>
      </c>
      <c r="G67" s="103">
        <v>512</v>
      </c>
      <c r="H67" s="103">
        <v>116</v>
      </c>
      <c r="I67" s="103">
        <v>511</v>
      </c>
      <c r="J67" s="103">
        <v>515</v>
      </c>
      <c r="K67" s="103">
        <v>558</v>
      </c>
      <c r="L67" s="103">
        <v>339</v>
      </c>
      <c r="M67" s="136" t="s">
        <v>141</v>
      </c>
      <c r="N67" s="135"/>
      <c r="O67" s="92"/>
    </row>
    <row r="68" spans="1:25" s="75" customFormat="1" x14ac:dyDescent="0.25">
      <c r="A68" s="133"/>
      <c r="B68" s="102">
        <v>-5904</v>
      </c>
      <c r="C68" s="134"/>
      <c r="D68" s="103">
        <v>267</v>
      </c>
      <c r="E68" s="104">
        <v>3.8999999999999998E-3</v>
      </c>
      <c r="F68" s="103">
        <v>12</v>
      </c>
      <c r="G68" s="103">
        <v>2</v>
      </c>
      <c r="H68" s="103">
        <v>151</v>
      </c>
      <c r="I68" s="103">
        <v>508</v>
      </c>
      <c r="J68" s="103">
        <v>508</v>
      </c>
      <c r="K68" s="103">
        <v>457.5</v>
      </c>
      <c r="L68" s="103">
        <v>1000</v>
      </c>
      <c r="M68" s="136" t="s">
        <v>142</v>
      </c>
      <c r="N68" s="135"/>
      <c r="O68" s="92"/>
    </row>
    <row r="69" spans="1:25" x14ac:dyDescent="0.25">
      <c r="A69" s="133"/>
      <c r="B69" s="102" t="s">
        <v>19</v>
      </c>
      <c r="C69" s="134">
        <v>0.60416666666666663</v>
      </c>
      <c r="D69" s="103">
        <v>10.199999999999999</v>
      </c>
      <c r="E69" s="103">
        <v>0.15</v>
      </c>
      <c r="F69" s="103">
        <v>10.199999999999999</v>
      </c>
      <c r="G69" s="103">
        <v>10.25</v>
      </c>
      <c r="H69" s="105">
        <v>105</v>
      </c>
      <c r="I69" s="103">
        <v>10.15</v>
      </c>
      <c r="J69" s="103">
        <v>10.25</v>
      </c>
      <c r="K69" s="103">
        <v>11.05</v>
      </c>
      <c r="L69" s="103">
        <v>32.35</v>
      </c>
      <c r="M69" s="136" t="s">
        <v>141</v>
      </c>
      <c r="N69" s="135"/>
      <c r="O69" s="92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spans="1:25" x14ac:dyDescent="0.25">
      <c r="A70" s="133"/>
      <c r="B70" s="102">
        <v>-5907</v>
      </c>
      <c r="C70" s="134"/>
      <c r="D70" s="105">
        <v>268</v>
      </c>
      <c r="E70" s="104">
        <v>1.49E-2</v>
      </c>
      <c r="F70" s="103">
        <v>40</v>
      </c>
      <c r="G70" s="103">
        <v>50</v>
      </c>
      <c r="H70" s="105">
        <v>162</v>
      </c>
      <c r="I70" s="103">
        <v>10.050000000000001</v>
      </c>
      <c r="J70" s="103">
        <v>10.1</v>
      </c>
      <c r="K70" s="103">
        <v>9.0500000000000007</v>
      </c>
      <c r="L70" s="103">
        <v>1000</v>
      </c>
      <c r="M70" s="136" t="s">
        <v>142</v>
      </c>
      <c r="N70" s="135"/>
      <c r="O70" s="92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spans="1:25" x14ac:dyDescent="0.25">
      <c r="A71" s="133"/>
      <c r="B71" s="102" t="s">
        <v>20</v>
      </c>
      <c r="C71" s="134">
        <v>0.5625</v>
      </c>
      <c r="D71" s="103">
        <v>210</v>
      </c>
      <c r="E71" s="103">
        <v>-2</v>
      </c>
      <c r="F71" s="103">
        <v>210</v>
      </c>
      <c r="G71" s="103">
        <v>210.5</v>
      </c>
      <c r="H71" s="103">
        <v>120</v>
      </c>
      <c r="I71" s="103">
        <v>213</v>
      </c>
      <c r="J71" s="103">
        <v>213</v>
      </c>
      <c r="K71" s="103">
        <v>233</v>
      </c>
      <c r="L71" s="103">
        <v>219</v>
      </c>
      <c r="M71" s="136" t="s">
        <v>141</v>
      </c>
      <c r="N71" s="135"/>
      <c r="O71" s="92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spans="1:25" x14ac:dyDescent="0.25">
      <c r="A72" s="133"/>
      <c r="B72" s="102">
        <v>-2707</v>
      </c>
      <c r="C72" s="134"/>
      <c r="D72" s="103">
        <v>178</v>
      </c>
      <c r="E72" s="104">
        <v>-9.4000000000000004E-3</v>
      </c>
      <c r="F72" s="103">
        <v>7</v>
      </c>
      <c r="G72" s="103">
        <v>1</v>
      </c>
      <c r="H72" s="103">
        <v>57</v>
      </c>
      <c r="I72" s="103">
        <v>212</v>
      </c>
      <c r="J72" s="103">
        <v>210</v>
      </c>
      <c r="K72" s="103">
        <v>191</v>
      </c>
      <c r="L72" s="103">
        <v>1000</v>
      </c>
      <c r="M72" s="136" t="s">
        <v>142</v>
      </c>
      <c r="N72" s="135"/>
      <c r="O72" s="92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spans="1:25" x14ac:dyDescent="0.25">
      <c r="A73" s="133"/>
      <c r="B73" s="102" t="s">
        <v>21</v>
      </c>
      <c r="C73" s="134">
        <v>0.5625</v>
      </c>
      <c r="D73" s="103">
        <v>52.1</v>
      </c>
      <c r="E73" s="103">
        <v>0.6</v>
      </c>
      <c r="F73" s="103">
        <v>52.1</v>
      </c>
      <c r="G73" s="103">
        <v>52.2</v>
      </c>
      <c r="H73" s="103">
        <v>37</v>
      </c>
      <c r="I73" s="103">
        <v>51.8</v>
      </c>
      <c r="J73" s="103">
        <v>52.5</v>
      </c>
      <c r="K73" s="103">
        <v>56.6</v>
      </c>
      <c r="L73" s="103">
        <v>25.4</v>
      </c>
      <c r="M73" s="136" t="s">
        <v>141</v>
      </c>
      <c r="N73" s="135"/>
      <c r="O73" s="92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spans="1:25" x14ac:dyDescent="0.25">
      <c r="A74" s="133"/>
      <c r="B74" s="102">
        <v>-2704</v>
      </c>
      <c r="C74" s="134"/>
      <c r="D74" s="103">
        <v>78</v>
      </c>
      <c r="E74" s="104">
        <v>1.17E-2</v>
      </c>
      <c r="F74" s="103">
        <v>1</v>
      </c>
      <c r="G74" s="103">
        <v>1</v>
      </c>
      <c r="H74" s="103">
        <v>41</v>
      </c>
      <c r="I74" s="103">
        <v>51.5</v>
      </c>
      <c r="J74" s="103">
        <v>51.6</v>
      </c>
      <c r="K74" s="103">
        <v>46.35</v>
      </c>
      <c r="L74" s="103">
        <v>1000</v>
      </c>
      <c r="M74" s="136" t="s">
        <v>142</v>
      </c>
      <c r="N74" s="135"/>
      <c r="O74" s="92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spans="1:25" x14ac:dyDescent="0.25">
      <c r="A75" s="133"/>
      <c r="B75" s="102" t="s">
        <v>22</v>
      </c>
      <c r="C75" s="134">
        <v>0.5625</v>
      </c>
      <c r="D75" s="103">
        <v>96.3</v>
      </c>
      <c r="E75" s="103">
        <v>-0.4</v>
      </c>
      <c r="F75" s="103">
        <v>96.3</v>
      </c>
      <c r="G75" s="103">
        <v>96.9</v>
      </c>
      <c r="H75" s="103">
        <v>144</v>
      </c>
      <c r="I75" s="103">
        <v>96.8</v>
      </c>
      <c r="J75" s="103">
        <v>97.3</v>
      </c>
      <c r="K75" s="103">
        <v>106</v>
      </c>
      <c r="L75" s="103">
        <v>167</v>
      </c>
      <c r="M75" s="136" t="s">
        <v>141</v>
      </c>
      <c r="N75" s="136"/>
      <c r="O75" s="92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spans="1:25" x14ac:dyDescent="0.25">
      <c r="A76" s="133"/>
      <c r="B76" s="102">
        <v>-2723</v>
      </c>
      <c r="C76" s="134"/>
      <c r="D76" s="105">
        <v>227</v>
      </c>
      <c r="E76" s="104">
        <v>-4.1000000000000003E-3</v>
      </c>
      <c r="F76" s="103">
        <v>1</v>
      </c>
      <c r="G76" s="103">
        <v>2</v>
      </c>
      <c r="H76" s="105">
        <v>74</v>
      </c>
      <c r="I76" s="103">
        <v>96.7</v>
      </c>
      <c r="J76" s="103">
        <v>96.3</v>
      </c>
      <c r="K76" s="103">
        <v>87.1</v>
      </c>
      <c r="L76" s="103">
        <v>1000</v>
      </c>
      <c r="M76" s="136" t="s">
        <v>142</v>
      </c>
      <c r="N76" s="136"/>
      <c r="O76" s="89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spans="1:25" x14ac:dyDescent="0.25">
      <c r="A77" s="133"/>
      <c r="B77" s="102" t="s">
        <v>23</v>
      </c>
      <c r="C77" s="134">
        <v>0.5625</v>
      </c>
      <c r="D77" s="103">
        <v>232</v>
      </c>
      <c r="E77" s="103">
        <v>0.5</v>
      </c>
      <c r="F77" s="103">
        <v>231.5</v>
      </c>
      <c r="G77" s="103">
        <v>232</v>
      </c>
      <c r="H77" s="105">
        <v>40</v>
      </c>
      <c r="I77" s="103">
        <v>232</v>
      </c>
      <c r="J77" s="103">
        <v>232</v>
      </c>
      <c r="K77" s="103">
        <v>254.5</v>
      </c>
      <c r="L77" s="103">
        <v>181.5</v>
      </c>
      <c r="M77" s="136" t="s">
        <v>141</v>
      </c>
      <c r="N77" s="137"/>
      <c r="O77" s="89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spans="1:25" x14ac:dyDescent="0.25">
      <c r="A78" s="133"/>
      <c r="B78" s="102">
        <v>-2727</v>
      </c>
      <c r="C78" s="134"/>
      <c r="D78" s="105">
        <v>130</v>
      </c>
      <c r="E78" s="104">
        <v>2.2000000000000001E-3</v>
      </c>
      <c r="F78" s="103">
        <v>2</v>
      </c>
      <c r="G78" s="103">
        <v>6</v>
      </c>
      <c r="H78" s="105">
        <v>89</v>
      </c>
      <c r="I78" s="103">
        <v>231.5</v>
      </c>
      <c r="J78" s="103">
        <v>230.5</v>
      </c>
      <c r="K78" s="103">
        <v>208.5</v>
      </c>
      <c r="L78" s="103">
        <v>1000</v>
      </c>
      <c r="M78" s="136" t="s">
        <v>142</v>
      </c>
      <c r="N78" s="137"/>
      <c r="O78" s="89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spans="1:25" x14ac:dyDescent="0.25">
      <c r="A79" s="133"/>
      <c r="B79" s="102" t="s">
        <v>24</v>
      </c>
      <c r="C79" s="134">
        <v>0.62439814814814809</v>
      </c>
      <c r="D79" s="103">
        <v>63.5</v>
      </c>
      <c r="E79" s="103" t="s">
        <v>14</v>
      </c>
      <c r="F79" s="103">
        <v>63.5</v>
      </c>
      <c r="G79" s="103">
        <v>64.599999999999994</v>
      </c>
      <c r="H79" s="103" t="s">
        <v>14</v>
      </c>
      <c r="I79" s="103">
        <v>63.5</v>
      </c>
      <c r="J79" s="103">
        <v>63.5</v>
      </c>
      <c r="K79" s="103">
        <v>69.599999999999994</v>
      </c>
      <c r="L79" s="103">
        <v>63.4</v>
      </c>
      <c r="M79" s="136" t="s">
        <v>141</v>
      </c>
      <c r="N79" s="137"/>
      <c r="O79" s="89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spans="1:25" x14ac:dyDescent="0.25">
      <c r="A80" s="133"/>
      <c r="B80" s="102">
        <v>-1259</v>
      </c>
      <c r="C80" s="134"/>
      <c r="D80" s="103">
        <v>0</v>
      </c>
      <c r="E80" s="104" t="s">
        <v>14</v>
      </c>
      <c r="F80" s="103">
        <v>1</v>
      </c>
      <c r="G80" s="103">
        <v>1</v>
      </c>
      <c r="H80" s="103" t="s">
        <v>14</v>
      </c>
      <c r="I80" s="103">
        <v>63.3</v>
      </c>
      <c r="J80" s="103">
        <v>63.5</v>
      </c>
      <c r="K80" s="103">
        <v>57</v>
      </c>
      <c r="L80" s="103">
        <v>1000</v>
      </c>
      <c r="M80" s="136" t="s">
        <v>142</v>
      </c>
      <c r="N80" s="137"/>
      <c r="O80" s="89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spans="1:25" x14ac:dyDescent="0.25">
      <c r="A81" s="133"/>
      <c r="B81" s="102" t="s">
        <v>7</v>
      </c>
      <c r="C81" s="134">
        <v>0.5625</v>
      </c>
      <c r="D81" s="103">
        <v>199</v>
      </c>
      <c r="E81" s="103">
        <v>-0.5</v>
      </c>
      <c r="F81" s="103">
        <v>199</v>
      </c>
      <c r="G81" s="103">
        <v>200.5</v>
      </c>
      <c r="H81" s="103">
        <v>5</v>
      </c>
      <c r="I81" s="103">
        <v>199</v>
      </c>
      <c r="J81" s="103">
        <v>202</v>
      </c>
      <c r="K81" s="103">
        <v>219</v>
      </c>
      <c r="L81" s="103">
        <v>232</v>
      </c>
      <c r="M81" s="136" t="s">
        <v>141</v>
      </c>
      <c r="N81" s="137"/>
      <c r="O81" s="89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spans="1:25" x14ac:dyDescent="0.25">
      <c r="A82" s="133"/>
      <c r="B82" s="102">
        <v>-2729</v>
      </c>
      <c r="C82" s="134"/>
      <c r="D82" s="103">
        <v>13</v>
      </c>
      <c r="E82" s="104">
        <v>-2.5000000000000001E-3</v>
      </c>
      <c r="F82" s="103">
        <v>5</v>
      </c>
      <c r="G82" s="103">
        <v>1</v>
      </c>
      <c r="H82" s="103">
        <v>8</v>
      </c>
      <c r="I82" s="103">
        <v>199.5</v>
      </c>
      <c r="J82" s="103">
        <v>199</v>
      </c>
      <c r="K82" s="103">
        <v>180</v>
      </c>
      <c r="L82" s="103">
        <v>1000</v>
      </c>
      <c r="M82" s="136" t="s">
        <v>142</v>
      </c>
      <c r="N82" s="137"/>
      <c r="O82" s="89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spans="1:25" x14ac:dyDescent="0.25">
      <c r="A83" s="133"/>
      <c r="B83" s="102" t="s">
        <v>25</v>
      </c>
      <c r="C83" s="134">
        <v>0.5625</v>
      </c>
      <c r="D83" s="103">
        <v>74.5</v>
      </c>
      <c r="E83" s="103">
        <v>1</v>
      </c>
      <c r="F83" s="103">
        <v>74.099999999999994</v>
      </c>
      <c r="G83" s="103">
        <v>74.5</v>
      </c>
      <c r="H83" s="105">
        <v>965</v>
      </c>
      <c r="I83" s="103">
        <v>73.7</v>
      </c>
      <c r="J83" s="103">
        <v>74.599999999999994</v>
      </c>
      <c r="K83" s="103">
        <v>80.8</v>
      </c>
      <c r="L83" s="103">
        <v>32.450000000000003</v>
      </c>
      <c r="M83" s="136" t="s">
        <v>141</v>
      </c>
      <c r="N83" s="137"/>
      <c r="O83" s="89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spans="1:25" x14ac:dyDescent="0.25">
      <c r="A84" s="133"/>
      <c r="B84" s="102">
        <v>-2347</v>
      </c>
      <c r="C84" s="134"/>
      <c r="D84" s="105">
        <v>2895</v>
      </c>
      <c r="E84" s="104">
        <v>1.3599999999999999E-2</v>
      </c>
      <c r="F84" s="103">
        <v>1</v>
      </c>
      <c r="G84" s="103">
        <v>16</v>
      </c>
      <c r="H84" s="105">
        <v>1877</v>
      </c>
      <c r="I84" s="103">
        <v>73.5</v>
      </c>
      <c r="J84" s="103">
        <v>73.7</v>
      </c>
      <c r="K84" s="103">
        <v>66.2</v>
      </c>
      <c r="L84" s="103">
        <v>1000</v>
      </c>
      <c r="M84" s="136" t="s">
        <v>142</v>
      </c>
      <c r="N84" s="137"/>
      <c r="O84" s="89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spans="1:25" x14ac:dyDescent="0.25">
      <c r="A85" s="133"/>
      <c r="B85" s="102" t="s">
        <v>26</v>
      </c>
      <c r="C85" s="134">
        <v>0.60416666666666663</v>
      </c>
      <c r="D85" s="103">
        <v>53</v>
      </c>
      <c r="E85" s="103">
        <v>0.6</v>
      </c>
      <c r="F85" s="103">
        <v>52.9</v>
      </c>
      <c r="G85" s="103">
        <v>53</v>
      </c>
      <c r="H85" s="105">
        <v>328</v>
      </c>
      <c r="I85" s="103">
        <v>53.1</v>
      </c>
      <c r="J85" s="103">
        <v>53.4</v>
      </c>
      <c r="K85" s="103">
        <v>57.6</v>
      </c>
      <c r="L85" s="103">
        <v>30.3</v>
      </c>
      <c r="M85" s="136" t="s">
        <v>141</v>
      </c>
      <c r="N85" s="137"/>
      <c r="O85" s="89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spans="1:25" x14ac:dyDescent="0.25">
      <c r="A86" s="133"/>
      <c r="B86" s="102">
        <v>-2362</v>
      </c>
      <c r="C86" s="134"/>
      <c r="D86" s="105">
        <v>661</v>
      </c>
      <c r="E86" s="104">
        <v>1.15E-2</v>
      </c>
      <c r="F86" s="103">
        <v>6</v>
      </c>
      <c r="G86" s="103">
        <v>2</v>
      </c>
      <c r="H86" s="105">
        <v>318</v>
      </c>
      <c r="I86" s="103">
        <v>52.4</v>
      </c>
      <c r="J86" s="103">
        <v>52.6</v>
      </c>
      <c r="K86" s="103">
        <v>47.2</v>
      </c>
      <c r="L86" s="103">
        <v>1000</v>
      </c>
      <c r="M86" s="136" t="s">
        <v>142</v>
      </c>
      <c r="N86" s="137"/>
      <c r="O86" s="89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spans="1:25" x14ac:dyDescent="0.25">
      <c r="A87" s="133"/>
      <c r="B87" s="102" t="s">
        <v>27</v>
      </c>
      <c r="C87" s="134">
        <v>0.5625</v>
      </c>
      <c r="D87" s="103">
        <v>43.85</v>
      </c>
      <c r="E87" s="103">
        <v>0.05</v>
      </c>
      <c r="F87" s="103">
        <v>43.85</v>
      </c>
      <c r="G87" s="103">
        <v>43.95</v>
      </c>
      <c r="H87" s="105">
        <v>157</v>
      </c>
      <c r="I87" s="103">
        <v>43.8</v>
      </c>
      <c r="J87" s="103">
        <v>44.1</v>
      </c>
      <c r="K87" s="103">
        <v>48.15</v>
      </c>
      <c r="L87" s="103">
        <v>357</v>
      </c>
      <c r="M87" s="136" t="s">
        <v>141</v>
      </c>
      <c r="N87" s="137"/>
      <c r="O87" s="89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spans="1:25" x14ac:dyDescent="0.25">
      <c r="A88" s="133"/>
      <c r="B88" s="102">
        <v>-8044</v>
      </c>
      <c r="C88" s="134"/>
      <c r="D88" s="105">
        <v>451</v>
      </c>
      <c r="E88" s="104">
        <v>1.1000000000000001E-3</v>
      </c>
      <c r="F88" s="105">
        <v>4</v>
      </c>
      <c r="G88" s="103">
        <v>4</v>
      </c>
      <c r="H88" s="105">
        <v>284</v>
      </c>
      <c r="I88" s="103">
        <v>43.8</v>
      </c>
      <c r="J88" s="103">
        <v>43.55</v>
      </c>
      <c r="K88" s="103">
        <v>39.450000000000003</v>
      </c>
      <c r="L88" s="103">
        <v>1000</v>
      </c>
      <c r="M88" s="136" t="s">
        <v>142</v>
      </c>
      <c r="N88" s="137"/>
      <c r="O88" s="89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spans="1:25" x14ac:dyDescent="0.25">
      <c r="A89" s="133"/>
      <c r="B89" s="102" t="s">
        <v>28</v>
      </c>
      <c r="C89" s="134">
        <v>0.5625</v>
      </c>
      <c r="D89" s="103">
        <v>368.5</v>
      </c>
      <c r="E89" s="103">
        <v>4.5</v>
      </c>
      <c r="F89" s="103">
        <v>367</v>
      </c>
      <c r="G89" s="103">
        <v>369</v>
      </c>
      <c r="H89" s="103">
        <v>35</v>
      </c>
      <c r="I89" s="103">
        <v>366.5</v>
      </c>
      <c r="J89" s="103">
        <v>369</v>
      </c>
      <c r="K89" s="103">
        <v>400</v>
      </c>
      <c r="L89" s="103">
        <v>221</v>
      </c>
      <c r="M89" s="136" t="s">
        <v>141</v>
      </c>
      <c r="N89" s="137"/>
      <c r="O89" s="89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spans="1:25" x14ac:dyDescent="0.25">
      <c r="A90" s="133"/>
      <c r="B90" s="102">
        <v>-8454</v>
      </c>
      <c r="C90" s="134"/>
      <c r="D90" s="105">
        <v>106</v>
      </c>
      <c r="E90" s="104">
        <v>1.24E-2</v>
      </c>
      <c r="F90" s="103">
        <v>1</v>
      </c>
      <c r="G90" s="103">
        <v>8</v>
      </c>
      <c r="H90" s="105">
        <v>71</v>
      </c>
      <c r="I90" s="103">
        <v>364</v>
      </c>
      <c r="J90" s="103">
        <v>364.5</v>
      </c>
      <c r="K90" s="103">
        <v>328</v>
      </c>
      <c r="L90" s="103">
        <v>1000</v>
      </c>
      <c r="M90" s="136" t="s">
        <v>142</v>
      </c>
      <c r="N90" s="137"/>
      <c r="O90" s="89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spans="1:25" x14ac:dyDescent="0.25">
      <c r="A91" s="133"/>
      <c r="B91" s="102" t="s">
        <v>139</v>
      </c>
      <c r="C91" s="134">
        <v>0.5625</v>
      </c>
      <c r="D91" s="103">
        <v>683</v>
      </c>
      <c r="E91" s="103">
        <v>8</v>
      </c>
      <c r="F91" s="103">
        <v>679</v>
      </c>
      <c r="G91" s="103">
        <v>684</v>
      </c>
      <c r="H91" s="103">
        <v>138</v>
      </c>
      <c r="I91" s="103">
        <v>675</v>
      </c>
      <c r="J91" s="103">
        <v>687</v>
      </c>
      <c r="K91" s="103">
        <v>742</v>
      </c>
      <c r="L91" s="103">
        <v>1030</v>
      </c>
      <c r="M91" s="136" t="s">
        <v>141</v>
      </c>
      <c r="N91" s="137"/>
      <c r="O91" s="89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spans="1:25" x14ac:dyDescent="0.25">
      <c r="A92" s="133"/>
      <c r="B92" s="102">
        <v>-7722</v>
      </c>
      <c r="C92" s="138"/>
      <c r="D92" s="105">
        <v>359</v>
      </c>
      <c r="E92" s="104">
        <v>1.1900000000000001E-2</v>
      </c>
      <c r="F92" s="103">
        <v>2</v>
      </c>
      <c r="G92" s="103">
        <v>4</v>
      </c>
      <c r="H92" s="103">
        <v>219</v>
      </c>
      <c r="I92" s="103">
        <v>675</v>
      </c>
      <c r="J92" s="103">
        <v>643</v>
      </c>
      <c r="K92" s="103">
        <v>608</v>
      </c>
      <c r="L92" s="103">
        <v>1000</v>
      </c>
      <c r="M92" s="136" t="s">
        <v>142</v>
      </c>
      <c r="N92" s="137"/>
      <c r="O92" s="89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spans="1:25" x14ac:dyDescent="0.25">
      <c r="B93" s="79" t="s">
        <v>9</v>
      </c>
      <c r="C93" s="79" t="s">
        <v>96</v>
      </c>
      <c r="D93" s="79" t="s">
        <v>29</v>
      </c>
      <c r="E93" s="79" t="s">
        <v>30</v>
      </c>
      <c r="F93" s="79" t="s">
        <v>31</v>
      </c>
      <c r="G93" s="79" t="s">
        <v>32</v>
      </c>
      <c r="H93" s="79" t="s">
        <v>33</v>
      </c>
      <c r="I93" s="79" t="s">
        <v>34</v>
      </c>
      <c r="J93" s="79" t="s">
        <v>35</v>
      </c>
      <c r="K93" s="79" t="s">
        <v>6</v>
      </c>
      <c r="L93" s="79" t="s">
        <v>36</v>
      </c>
      <c r="M93" s="79" t="s">
        <v>37</v>
      </c>
      <c r="N93" s="80"/>
      <c r="O93" s="89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spans="1:25" ht="16.5" customHeight="1" x14ac:dyDescent="0.25">
      <c r="A94" s="85" t="s">
        <v>38</v>
      </c>
      <c r="B94" s="75" t="s">
        <v>39</v>
      </c>
      <c r="C94" s="81">
        <v>43091.666666666664</v>
      </c>
      <c r="D94" s="82"/>
      <c r="E94" s="82"/>
      <c r="F94" s="88">
        <v>9.2999999999999999E-2</v>
      </c>
      <c r="G94" s="86">
        <f>F94-M94</f>
        <v>1.0000000000000009E-3</v>
      </c>
      <c r="H94" s="87">
        <f>F94/M94-1</f>
        <v>1.0869565217391353E-2</v>
      </c>
      <c r="I94" s="98">
        <v>1211</v>
      </c>
      <c r="J94" s="100">
        <v>9.0999999999999998E-2</v>
      </c>
      <c r="K94" s="100">
        <v>9.5000000000000001E-2</v>
      </c>
      <c r="L94" s="100">
        <v>9.0999999999999998E-2</v>
      </c>
      <c r="M94" s="88">
        <v>9.1999999999999998E-2</v>
      </c>
      <c r="N94" s="84"/>
      <c r="O94" s="89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spans="1:25" ht="16.5" customHeight="1" x14ac:dyDescent="0.25">
      <c r="A95" s="85" t="s">
        <v>40</v>
      </c>
      <c r="B95" s="75" t="s">
        <v>41</v>
      </c>
      <c r="C95" s="81">
        <v>43091.666666666664</v>
      </c>
      <c r="D95" s="83"/>
      <c r="E95" s="82"/>
      <c r="F95" s="88">
        <v>0.32500000000000001</v>
      </c>
      <c r="G95" s="86">
        <f>F95-M95</f>
        <v>5.0000000000000044E-3</v>
      </c>
      <c r="H95" s="87">
        <f>F95/M95-1</f>
        <v>1.5625E-2</v>
      </c>
      <c r="I95" s="98">
        <v>159</v>
      </c>
      <c r="J95" s="100">
        <v>0.30499999999999999</v>
      </c>
      <c r="K95" s="100">
        <v>0.32500000000000001</v>
      </c>
      <c r="L95" s="100">
        <v>0.30499999999999999</v>
      </c>
      <c r="M95" s="88">
        <v>0.32</v>
      </c>
      <c r="N95" s="84"/>
      <c r="O95" s="89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spans="1:25" x14ac:dyDescent="0.25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75"/>
      <c r="R96" s="75"/>
      <c r="S96" s="75"/>
      <c r="T96" s="75"/>
      <c r="U96" s="75"/>
      <c r="V96" s="75"/>
      <c r="W96" s="75"/>
      <c r="X96" s="75"/>
      <c r="Y96" s="75"/>
    </row>
  </sheetData>
  <dataConsolidate/>
  <mergeCells count="2">
    <mergeCell ref="B2:L2"/>
    <mergeCell ref="B96:P96"/>
  </mergeCells>
  <phoneticPr fontId="5" type="noConversion"/>
  <hyperlinks>
    <hyperlink ref="O3" r:id="rId1" xr:uid="{00000000-0004-0000-10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2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具名範圍</vt:lpstr>
      </vt:variant>
      <vt:variant>
        <vt:i4>16</vt:i4>
      </vt:variant>
    </vt:vector>
  </HeadingPairs>
  <TitlesOfParts>
    <vt:vector size="33" baseType="lpstr">
      <vt:lpstr>IR_updated (PC HOME)</vt:lpstr>
      <vt:lpstr>主力進出</vt:lpstr>
      <vt:lpstr>營收</vt:lpstr>
      <vt:lpstr>0303</vt:lpstr>
      <vt:lpstr>0304</vt:lpstr>
      <vt:lpstr>0305</vt:lpstr>
      <vt:lpstr>0306</vt:lpstr>
      <vt:lpstr>0307</vt:lpstr>
      <vt:lpstr>0310</vt:lpstr>
      <vt:lpstr>0311</vt:lpstr>
      <vt:lpstr>0312</vt:lpstr>
      <vt:lpstr>0313</vt:lpstr>
      <vt:lpstr>0314</vt:lpstr>
      <vt:lpstr>0317</vt:lpstr>
      <vt:lpstr>0318</vt:lpstr>
      <vt:lpstr>0319</vt:lpstr>
      <vt:lpstr>0320</vt:lpstr>
      <vt:lpstr>'0303'!Print_Area</vt:lpstr>
      <vt:lpstr>'0304'!Print_Area</vt:lpstr>
      <vt:lpstr>'0305'!Print_Area</vt:lpstr>
      <vt:lpstr>'0306'!Print_Area</vt:lpstr>
      <vt:lpstr>'0307'!Print_Area</vt:lpstr>
      <vt:lpstr>'0310'!Print_Area</vt:lpstr>
      <vt:lpstr>'0311'!Print_Area</vt:lpstr>
      <vt:lpstr>'0312'!Print_Area</vt:lpstr>
      <vt:lpstr>'0313'!Print_Area</vt:lpstr>
      <vt:lpstr>'0314'!Print_Area</vt:lpstr>
      <vt:lpstr>'0317'!Print_Area</vt:lpstr>
      <vt:lpstr>'0318'!Print_Area</vt:lpstr>
      <vt:lpstr>'0319'!Print_Area</vt:lpstr>
      <vt:lpstr>'0320'!Print_Area</vt:lpstr>
      <vt:lpstr>'IR_updated (PC HOME)'!Print_Area</vt:lpstr>
      <vt:lpstr>營收!Print_Area</vt:lpstr>
    </vt:vector>
  </TitlesOfParts>
  <Manager/>
  <Company>pec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Arthur LU</cp:lastModifiedBy>
  <cp:revision/>
  <cp:lastPrinted>2025-03-25T10:38:43Z</cp:lastPrinted>
  <dcterms:created xsi:type="dcterms:W3CDTF">2012-02-13T05:07:04Z</dcterms:created>
  <dcterms:modified xsi:type="dcterms:W3CDTF">2026-02-15T13:34:13Z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